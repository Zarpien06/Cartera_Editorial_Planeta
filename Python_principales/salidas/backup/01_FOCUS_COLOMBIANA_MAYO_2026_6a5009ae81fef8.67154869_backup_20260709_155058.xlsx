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laneta.sharepoint.com/sites/CARTERA/Shared Documents/General/Archivos Cierre/05 MAYO 2026/"/>
    </mc:Choice>
  </mc:AlternateContent>
  <xr:revisionPtr revIDLastSave="8" documentId="8_{4467AB1D-E53D-4F77-AC8A-2BBB89096835}" xr6:coauthVersionLast="47" xr6:coauthVersionMax="47" xr10:uidLastSave="{AD70AFED-C3CE-43A3-9F75-59180D58C84A}"/>
  <bookViews>
    <workbookView xWindow="-110" yWindow="-110" windowWidth="19420" windowHeight="10300" xr2:uid="{B303AFCC-524D-4A39-A3E8-376B7B137387}"/>
  </bookViews>
  <sheets>
    <sheet name="MODELO DEUDA MAYO 26" sheetId="3" r:id="rId1"/>
    <sheet name="FOCUS" sheetId="1" r:id="rId2"/>
    <sheet name="PROV" sheetId="2" r:id="rId3"/>
  </sheets>
  <definedNames>
    <definedName name="_xlnm.Print_Area" localSheetId="0">'MODELO DEUDA MAYO 26'!$A$1:$N$54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3" l="1"/>
  <c r="G52" i="3"/>
  <c r="E52" i="3"/>
  <c r="F49" i="3"/>
  <c r="D49" i="3"/>
  <c r="H48" i="3"/>
  <c r="L47" i="3"/>
  <c r="J47" i="3"/>
  <c r="H47" i="3"/>
  <c r="L46" i="3"/>
  <c r="J46" i="3"/>
  <c r="H46" i="3"/>
  <c r="L45" i="3"/>
  <c r="J45" i="3"/>
  <c r="H45" i="3"/>
  <c r="L44" i="3"/>
  <c r="J44" i="3"/>
  <c r="F42" i="3"/>
  <c r="D42" i="3"/>
  <c r="H41" i="3"/>
  <c r="L40" i="3"/>
  <c r="J40" i="3"/>
  <c r="L39" i="3"/>
  <c r="J39" i="3"/>
  <c r="L38" i="3"/>
  <c r="J38" i="3"/>
  <c r="L37" i="3"/>
  <c r="J37" i="3"/>
  <c r="H37" i="3"/>
  <c r="L36" i="3"/>
  <c r="J36" i="3"/>
  <c r="H36" i="3"/>
  <c r="L35" i="3"/>
  <c r="J35" i="3"/>
  <c r="F28" i="3"/>
  <c r="D28" i="3"/>
  <c r="H27" i="3"/>
  <c r="H26" i="3"/>
  <c r="H25" i="3"/>
  <c r="H24" i="3"/>
  <c r="L23" i="3"/>
  <c r="J23" i="3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N35" i="3" l="1"/>
  <c r="H49" i="3"/>
  <c r="N40" i="3"/>
  <c r="N38" i="3"/>
  <c r="D50" i="3"/>
  <c r="J50" i="3" s="1"/>
  <c r="J48" i="3" s="1"/>
  <c r="N47" i="3"/>
  <c r="N46" i="3"/>
  <c r="N44" i="3"/>
  <c r="D43" i="3"/>
  <c r="N39" i="3"/>
  <c r="N36" i="3"/>
  <c r="H50" i="3"/>
  <c r="F50" i="3"/>
  <c r="L50" i="3" s="1"/>
  <c r="L48" i="3" s="1"/>
  <c r="N45" i="3"/>
  <c r="F43" i="3"/>
  <c r="H42" i="3"/>
  <c r="N37" i="3"/>
  <c r="F29" i="3"/>
  <c r="H28" i="3"/>
  <c r="H29" i="3"/>
  <c r="N23" i="3"/>
  <c r="D29" i="3"/>
  <c r="H43" i="3" l="1"/>
  <c r="H51" i="3"/>
  <c r="J49" i="3"/>
  <c r="N48" i="3"/>
  <c r="N49" i="3" s="1"/>
  <c r="N50" i="3" s="1"/>
  <c r="J43" i="3"/>
  <c r="D51" i="3"/>
  <c r="L43" i="3"/>
  <c r="F51" i="3"/>
  <c r="L49" i="3"/>
  <c r="L29" i="3"/>
  <c r="J29" i="3"/>
  <c r="J51" i="3" l="1"/>
  <c r="J41" i="3"/>
  <c r="L51" i="3"/>
  <c r="L41" i="3"/>
  <c r="L42" i="3" s="1"/>
  <c r="J42" i="3" l="1"/>
  <c r="N41" i="3"/>
  <c r="N42" i="3" s="1"/>
  <c r="N43" i="3" s="1"/>
  <c r="N51" i="3" s="1"/>
  <c r="F17" i="3" l="1"/>
  <c r="H17" i="3" s="1"/>
  <c r="J10" i="3" l="1"/>
  <c r="J26" i="3" l="1"/>
  <c r="L25" i="3"/>
  <c r="L24" i="3"/>
  <c r="J25" i="3"/>
  <c r="N25" i="3" s="1"/>
  <c r="J24" i="3"/>
  <c r="L26" i="3"/>
  <c r="H15" i="3"/>
  <c r="N26" i="3" l="1"/>
  <c r="J27" i="3"/>
  <c r="N27" i="3" s="1"/>
  <c r="N28" i="3" s="1"/>
  <c r="N29" i="3" s="1"/>
  <c r="N24" i="3"/>
  <c r="L27" i="3"/>
  <c r="L28" i="3" s="1"/>
  <c r="D22" i="3"/>
  <c r="D30" i="3" s="1"/>
  <c r="D52" i="3" s="1"/>
  <c r="J28" i="3" l="1"/>
  <c r="H16" i="3" l="1"/>
  <c r="J22" i="3" l="1"/>
  <c r="J30" i="3" s="1"/>
  <c r="F21" i="3"/>
  <c r="D21" i="3"/>
  <c r="H20" i="3"/>
  <c r="H19" i="3"/>
  <c r="H18" i="3"/>
  <c r="J17" i="3"/>
  <c r="J14" i="3"/>
  <c r="L14" i="3"/>
  <c r="H21" i="3" l="1"/>
  <c r="H22" i="3"/>
  <c r="H30" i="3" s="1"/>
  <c r="H52" i="3" s="1"/>
  <c r="F22" i="3"/>
  <c r="F30" i="3" s="1"/>
  <c r="F52" i="3" s="1"/>
  <c r="L17" i="3"/>
  <c r="N17" i="3" s="1"/>
  <c r="N14" i="3"/>
  <c r="L22" i="3" l="1"/>
  <c r="L30" i="3" s="1"/>
  <c r="H10" i="3" l="1"/>
  <c r="H7" i="3"/>
  <c r="L15" i="3" l="1"/>
  <c r="L18" i="3"/>
  <c r="J15" i="3"/>
  <c r="J18" i="3"/>
  <c r="L16" i="3"/>
  <c r="L19" i="3"/>
  <c r="J16" i="3"/>
  <c r="J19" i="3"/>
  <c r="N18" i="3" l="1"/>
  <c r="J20" i="3"/>
  <c r="N15" i="3"/>
  <c r="N19" i="3"/>
  <c r="N16" i="3"/>
  <c r="L20" i="3"/>
  <c r="L21" i="3" s="1"/>
  <c r="N20" i="3" l="1"/>
  <c r="N21" i="3" s="1"/>
  <c r="N22" i="3" s="1"/>
  <c r="N30" i="3" s="1"/>
  <c r="J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pcriales</author>
  </authors>
  <commentList>
    <comment ref="H7" authorId="0" shapeId="0" xr:uid="{F43CCB8C-7C70-4D10-9872-9215D7A976C1}">
      <text>
        <r>
          <rPr>
            <b/>
            <sz val="9"/>
            <color indexed="81"/>
            <rFont val="Tahoma"/>
            <family val="2"/>
          </rPr>
          <t>pcriales:</t>
        </r>
        <r>
          <rPr>
            <sz val="9"/>
            <color indexed="81"/>
            <rFont val="Tahoma"/>
            <family val="2"/>
          </rPr>
          <t xml:space="preserve">
EURO</t>
        </r>
      </text>
    </comment>
    <comment ref="H8" authorId="0" shapeId="0" xr:uid="{80FD3B22-9CFB-46BB-94C1-614D580EE64D}">
      <text>
        <r>
          <rPr>
            <b/>
            <sz val="9"/>
            <color indexed="81"/>
            <rFont val="Tahoma"/>
            <family val="2"/>
          </rPr>
          <t>pcriales:</t>
        </r>
        <r>
          <rPr>
            <sz val="9"/>
            <color indexed="81"/>
            <rFont val="Tahoma"/>
            <family val="2"/>
          </rPr>
          <t xml:space="preserve">
EURO</t>
        </r>
      </text>
    </comment>
  </commentList>
</comments>
</file>

<file path=xl/sharedStrings.xml><?xml version="1.0" encoding="utf-8"?>
<sst xmlns="http://schemas.openxmlformats.org/spreadsheetml/2006/main" count="411" uniqueCount="115">
  <si>
    <t xml:space="preserve">                                                                                                                    </t>
  </si>
  <si>
    <t>RESUMEN DEUDA NO GRUPO (datos en Miles)</t>
  </si>
  <si>
    <t>LIBRERÍAS COLOMBIA</t>
  </si>
  <si>
    <t>Julio</t>
  </si>
  <si>
    <t>TIPO DE CAMBIO</t>
  </si>
  <si>
    <t>CIERRE</t>
  </si>
  <si>
    <t>Junio</t>
  </si>
  <si>
    <t>Diciembre A-1</t>
  </si>
  <si>
    <t>PROMEDIO</t>
  </si>
  <si>
    <t>MES</t>
  </si>
  <si>
    <t>Datos en Moneda Local</t>
  </si>
  <si>
    <t>Datos en  €</t>
  </si>
  <si>
    <t>Vencida</t>
  </si>
  <si>
    <t>No Vencida</t>
  </si>
  <si>
    <t>Total Deuda</t>
  </si>
  <si>
    <t>Deuda bruta NO Grupo (Inicial)</t>
  </si>
  <si>
    <t>- Cobros del mes</t>
  </si>
  <si>
    <t>+ Facturación del mes</t>
  </si>
  <si>
    <t>+/- Vencidos en el mes</t>
  </si>
  <si>
    <t>+/- Regularizaciones</t>
  </si>
  <si>
    <t>-/+ Actualización cambiaria</t>
  </si>
  <si>
    <t>+/- Ef. Conversión (solo cuadro €)</t>
  </si>
  <si>
    <t xml:space="preserve"> +/- Movimiento Tipo de Cambio</t>
  </si>
  <si>
    <t>Deuda bruta NO Grupo (Final)</t>
  </si>
  <si>
    <t>- Dotaciones Acumuladas (Inicial)</t>
  </si>
  <si>
    <t>- Dotaciones del mes</t>
  </si>
  <si>
    <t>+ Desdotaciones</t>
  </si>
  <si>
    <t>+/- Provisión acumulada (Final)</t>
  </si>
  <si>
    <t>Saldo neto</t>
  </si>
  <si>
    <t>ACUMULADO</t>
  </si>
  <si>
    <t>Deuda bruta NO Grupo (inicial)</t>
  </si>
  <si>
    <t>- Cobros</t>
  </si>
  <si>
    <t>+ Facturación</t>
  </si>
  <si>
    <t>+/- Vencidos</t>
  </si>
  <si>
    <t>- Dotaciones</t>
  </si>
  <si>
    <t>Enero</t>
  </si>
  <si>
    <t>Febrero</t>
  </si>
  <si>
    <t>Marzo</t>
  </si>
  <si>
    <t>Abril</t>
  </si>
  <si>
    <t xml:space="preserve">Mayo </t>
  </si>
  <si>
    <t>Agosto</t>
  </si>
  <si>
    <t>Septiembre</t>
  </si>
  <si>
    <t>Octubre</t>
  </si>
  <si>
    <t>Noviembre</t>
  </si>
  <si>
    <t>Diciembre</t>
  </si>
  <si>
    <t>Área</t>
  </si>
  <si>
    <t>InterCo</t>
  </si>
  <si>
    <t>MONEDA LOCAL</t>
  </si>
  <si>
    <t>Euros</t>
  </si>
  <si>
    <t>Marzo_ac</t>
  </si>
  <si>
    <t>Febrero_ac</t>
  </si>
  <si>
    <t>Enero_ac</t>
  </si>
  <si>
    <t>Real</t>
  </si>
  <si>
    <t>FRAS.PDTE.EMITIR</t>
  </si>
  <si>
    <t>CLIENTES NACIONALES</t>
  </si>
  <si>
    <t>CLIENTES NACIONALES ESPECIALES</t>
  </si>
  <si>
    <t>CONSIGNACION CLIENTES NO IDENT</t>
  </si>
  <si>
    <t>CLIENTES EXTRANJERO EUROS</t>
  </si>
  <si>
    <t>CHEQUES DEVUELTOS NACIONALES</t>
  </si>
  <si>
    <t>CHEQUES POSTFECHADOS  NACIONAL</t>
  </si>
  <si>
    <t>BCA10_1</t>
  </si>
  <si>
    <t>CLIENTES POR VENTAS Y PREST.SERVICIOS</t>
  </si>
  <si>
    <t>CLIENTES EXTRANJERO NO GRUPO U</t>
  </si>
  <si>
    <t>ICESP</t>
  </si>
  <si>
    <t>Interco ESPAÑA</t>
  </si>
  <si>
    <t>ICBRASIL</t>
  </si>
  <si>
    <t>Interco BRASIL</t>
  </si>
  <si>
    <t>IC00080</t>
  </si>
  <si>
    <t>Editorial Planeta Colombiana, S.A.</t>
  </si>
  <si>
    <t>IC00576</t>
  </si>
  <si>
    <t>Ediciones Planeta Colombia</t>
  </si>
  <si>
    <t>IC00577</t>
  </si>
  <si>
    <t>Editorial Planeta Perú, S.A.</t>
  </si>
  <si>
    <t>IC00580</t>
  </si>
  <si>
    <t>Editorial Planeta Venezolana, S.A.</t>
  </si>
  <si>
    <t>IC00640</t>
  </si>
  <si>
    <t>Editorial Planeta Ecuador, S.A.</t>
  </si>
  <si>
    <t>IC00393</t>
  </si>
  <si>
    <t>Planeta Deagostini Formación Colombiana, S.A.</t>
  </si>
  <si>
    <t>IC00392</t>
  </si>
  <si>
    <t>Planeta Deagostini Formación Perú, S.A.</t>
  </si>
  <si>
    <t>ICANDINO</t>
  </si>
  <si>
    <t>Interco ANDINO</t>
  </si>
  <si>
    <t>ICSUR</t>
  </si>
  <si>
    <t>Interco SUR</t>
  </si>
  <si>
    <t>ICMEXICO</t>
  </si>
  <si>
    <t>Interco MEXICO</t>
  </si>
  <si>
    <t>ICOTRLAT</t>
  </si>
  <si>
    <t>Interco OTROS LATAM</t>
  </si>
  <si>
    <t>ICLAT</t>
  </si>
  <si>
    <t>Interco LATAM</t>
  </si>
  <si>
    <t>ICGENERICO</t>
  </si>
  <si>
    <t>Interco GENERICO</t>
  </si>
  <si>
    <t>ICRESTO</t>
  </si>
  <si>
    <t>Interco RESTO</t>
  </si>
  <si>
    <t>Diciembre_ac</t>
  </si>
  <si>
    <t>2025</t>
  </si>
  <si>
    <t>43091</t>
  </si>
  <si>
    <t>43001</t>
  </si>
  <si>
    <t>43002</t>
  </si>
  <si>
    <t>43008</t>
  </si>
  <si>
    <t>43042</t>
  </si>
  <si>
    <t>43092</t>
  </si>
  <si>
    <t>43101</t>
  </si>
  <si>
    <t>Abril_ac</t>
  </si>
  <si>
    <t>2026</t>
  </si>
  <si>
    <t>Mayo_ac</t>
  </si>
  <si>
    <t>Noviembre_ac</t>
  </si>
  <si>
    <t>Octubre_ac</t>
  </si>
  <si>
    <t>Septiembre_ac</t>
  </si>
  <si>
    <t>Agosto_ac</t>
  </si>
  <si>
    <t>Julio_ac</t>
  </si>
  <si>
    <t>Junio_ac</t>
  </si>
  <si>
    <t>2024</t>
  </si>
  <si>
    <t>Abril(Mes)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</si>
</sst>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\ _€_-;_-@_-"/>
    <numFmt numFmtId="166" formatCode="_-* #,##0_-;\-* #,##0_-;_-* &quot;-&quot;??_-;_-@_-"/>
    <numFmt numFmtId="167" formatCode="#,##0.0"/>
    <numFmt numFmtId="169" formatCode="_ * #,##0.00_ ;_ * \-#,##0.00_ ;_ * &quot;-&quot;??_ ;_ @_ "/>
    <numFmt numFmtId="170" formatCode="_ * #,##0_ ;_ * \-#,##0_ ;_ * &quot;-&quot;_ ;_ @_ "/>
    <numFmt numFmtId="172" formatCode="_-* #,##0.0000_-;\-* #,##0.0000_-;_-* &quot;-&quot;??_-;_-@_-"/>
    <numFmt numFmtId="174" formatCode="_-* #,##0.00\ [$€-1]_-;\-* #,##0.00\ [$€-1]_-;_-* &quot;-&quot;??\ [$€-1]_-"/>
    <numFmt numFmtId="175" formatCode="_-* #,##0.00\ _p_t_a_-;\-* #,##0.00\ _p_t_a_-;_-* \-??\ _p_t_a_-;_-@_-"/>
    <numFmt numFmtId="176" formatCode="_-* #,##0.00&quot; pta&quot;_-;\-* #,##0.00&quot; pta&quot;_-;_-* \-??&quot; pta&quot;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1F497D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Tahoma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theme="1"/>
      <name val="Segoe U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F1A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45"/>
        <b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  <bgColor indexed="29"/>
      </patternFill>
    </fill>
    <fill>
      <patternFill patternType="solid">
        <fgColor indexed="53"/>
      </patternFill>
    </fill>
    <fill>
      <patternFill patternType="solid">
        <fgColor indexed="34"/>
        <bgColor indexed="1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56"/>
        <bgColor indexed="6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16"/>
      </patternFill>
    </fill>
    <fill>
      <patternFill patternType="solid">
        <fgColor indexed="46"/>
        <bgColor indexed="3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68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" fontId="3" fillId="0" borderId="0"/>
    <xf numFmtId="0" fontId="2" fillId="0" borderId="1" applyNumberFormat="0" applyFill="0" applyAlignment="0" applyProtection="0"/>
    <xf numFmtId="0" fontId="16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12" applyNumberFormat="0" applyAlignment="0" applyProtection="0"/>
    <xf numFmtId="0" fontId="23" fillId="12" borderId="13" applyNumberFormat="0" applyAlignment="0" applyProtection="0"/>
    <xf numFmtId="0" fontId="24" fillId="12" borderId="12" applyNumberFormat="0" applyAlignment="0" applyProtection="0"/>
    <xf numFmtId="0" fontId="25" fillId="0" borderId="14" applyNumberFormat="0" applyFill="0" applyAlignment="0" applyProtection="0"/>
    <xf numFmtId="0" fontId="26" fillId="13" borderId="15" applyNumberFormat="0" applyAlignment="0" applyProtection="0"/>
    <xf numFmtId="0" fontId="27" fillId="0" borderId="0" applyNumberFormat="0" applyFill="0" applyBorder="0" applyAlignment="0" applyProtection="0"/>
    <xf numFmtId="0" fontId="1" fillId="14" borderId="16" applyNumberFormat="0" applyFont="0" applyAlignment="0" applyProtection="0"/>
    <xf numFmtId="0" fontId="28" fillId="0" borderId="0" applyNumberFormat="0" applyFill="0" applyBorder="0" applyAlignment="0" applyProtection="0"/>
    <xf numFmtId="0" fontId="15" fillId="0" borderId="17" applyNumberFormat="0" applyFill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54" borderId="0" applyNumberFormat="0" applyBorder="0" applyAlignment="0" applyProtection="0"/>
    <xf numFmtId="0" fontId="32" fillId="53" borderId="0" applyNumberFormat="0" applyBorder="0" applyAlignment="0" applyProtection="0"/>
    <xf numFmtId="0" fontId="32" fillId="55" borderId="0" applyNumberFormat="0" applyBorder="0" applyAlignment="0" applyProtection="0"/>
    <xf numFmtId="0" fontId="32" fillId="42" borderId="0" applyNumberFormat="0" applyBorder="0" applyAlignment="0" applyProtection="0"/>
    <xf numFmtId="0" fontId="32" fillId="44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46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5" borderId="0" applyNumberFormat="0" applyBorder="0" applyAlignment="0" applyProtection="0"/>
    <xf numFmtId="0" fontId="32" fillId="42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60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61" borderId="0" applyNumberFormat="0" applyBorder="0" applyAlignment="0" applyProtection="0"/>
    <xf numFmtId="0" fontId="33" fillId="62" borderId="0" applyNumberFormat="0" applyBorder="0" applyAlignment="0" applyProtection="0"/>
    <xf numFmtId="0" fontId="33" fillId="63" borderId="0" applyNumberFormat="0" applyBorder="0" applyAlignment="0" applyProtection="0"/>
    <xf numFmtId="0" fontId="33" fillId="45" borderId="0" applyNumberFormat="0" applyBorder="0" applyAlignment="0" applyProtection="0"/>
    <xf numFmtId="0" fontId="33" fillId="64" borderId="0" applyNumberFormat="0" applyBorder="0" applyAlignment="0" applyProtection="0"/>
    <xf numFmtId="0" fontId="33" fillId="60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46" borderId="0" applyNumberFormat="0" applyBorder="0" applyAlignment="0" applyProtection="0"/>
    <xf numFmtId="0" fontId="33" fillId="65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66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67" borderId="0" applyNumberFormat="0" applyBorder="0" applyAlignment="0" applyProtection="0"/>
    <xf numFmtId="0" fontId="19" fillId="8" borderId="0" applyNumberFormat="0" applyBorder="0" applyAlignment="0" applyProtection="0"/>
    <xf numFmtId="0" fontId="34" fillId="53" borderId="0" applyNumberFormat="0" applyBorder="0" applyAlignment="0" applyProtection="0"/>
    <xf numFmtId="0" fontId="34" fillId="55" borderId="0" applyNumberFormat="0" applyBorder="0" applyAlignment="0" applyProtection="0"/>
    <xf numFmtId="0" fontId="34" fillId="49" borderId="0" applyNumberFormat="0" applyBorder="0" applyAlignment="0" applyProtection="0"/>
    <xf numFmtId="0" fontId="35" fillId="68" borderId="18" applyNumberFormat="0" applyAlignment="0" applyProtection="0"/>
    <xf numFmtId="0" fontId="35" fillId="69" borderId="18" applyNumberFormat="0" applyAlignment="0" applyProtection="0"/>
    <xf numFmtId="0" fontId="36" fillId="51" borderId="18" applyNumberFormat="0" applyAlignment="0" applyProtection="0"/>
    <xf numFmtId="0" fontId="37" fillId="70" borderId="19" applyNumberFormat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21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71" borderId="0" applyNumberFormat="0" applyBorder="0" applyAlignment="0" applyProtection="0"/>
    <xf numFmtId="0" fontId="33" fillId="72" borderId="0" applyNumberFormat="0" applyBorder="0" applyAlignment="0" applyProtection="0"/>
    <xf numFmtId="0" fontId="33" fillId="73" borderId="0" applyNumberFormat="0" applyBorder="0" applyAlignment="0" applyProtection="0"/>
    <xf numFmtId="0" fontId="33" fillId="62" borderId="0" applyNumberFormat="0" applyBorder="0" applyAlignment="0" applyProtection="0"/>
    <xf numFmtId="0" fontId="33" fillId="63" borderId="0" applyNumberFormat="0" applyBorder="0" applyAlignment="0" applyProtection="0"/>
    <xf numFmtId="0" fontId="33" fillId="74" borderId="0" applyNumberFormat="0" applyBorder="0" applyAlignment="0" applyProtection="0"/>
    <xf numFmtId="0" fontId="33" fillId="64" borderId="0" applyNumberFormat="0" applyBorder="0" applyAlignment="0" applyProtection="0"/>
    <xf numFmtId="0" fontId="33" fillId="60" borderId="0" applyNumberFormat="0" applyBorder="0" applyAlignment="0" applyProtection="0"/>
    <xf numFmtId="0" fontId="33" fillId="75" borderId="0" applyNumberFormat="0" applyBorder="0" applyAlignment="0" applyProtection="0"/>
    <xf numFmtId="0" fontId="33" fillId="76" borderId="0" applyNumberFormat="0" applyBorder="0" applyAlignment="0" applyProtection="0"/>
    <xf numFmtId="0" fontId="33" fillId="77" borderId="0" applyNumberFormat="0" applyBorder="0" applyAlignment="0" applyProtection="0"/>
    <xf numFmtId="0" fontId="33" fillId="65" borderId="0" applyNumberFormat="0" applyBorder="0" applyAlignment="0" applyProtection="0"/>
    <xf numFmtId="0" fontId="33" fillId="78" borderId="0" applyNumberFormat="0" applyBorder="0" applyAlignment="0" applyProtection="0"/>
    <xf numFmtId="0" fontId="33" fillId="79" borderId="0" applyNumberFormat="0" applyBorder="0" applyAlignment="0" applyProtection="0"/>
    <xf numFmtId="0" fontId="33" fillId="74" borderId="0" applyNumberFormat="0" applyBorder="0" applyAlignment="0" applyProtection="0"/>
    <xf numFmtId="0" fontId="33" fillId="63" borderId="0" applyNumberFormat="0" applyBorder="0" applyAlignment="0" applyProtection="0"/>
    <xf numFmtId="0" fontId="42" fillId="56" borderId="18" applyNumberFormat="0" applyAlignment="0" applyProtection="0"/>
    <xf numFmtId="0" fontId="42" fillId="57" borderId="18" applyNumberFormat="0" applyAlignment="0" applyProtection="0"/>
    <xf numFmtId="0" fontId="42" fillId="54" borderId="18" applyNumberFormat="0" applyAlignment="0" applyProtection="0"/>
    <xf numFmtId="174" fontId="3" fillId="0" borderId="0" applyFont="0" applyFill="0" applyBorder="0" applyAlignment="0" applyProtection="0"/>
    <xf numFmtId="0" fontId="3" fillId="0" borderId="0" applyFill="0" applyBorder="0" applyAlignment="0" applyProtection="0"/>
    <xf numFmtId="0" fontId="3" fillId="0" borderId="0" applyFill="0" applyBorder="0" applyAlignment="0" applyProtection="0"/>
    <xf numFmtId="0" fontId="3" fillId="0" borderId="0" applyFill="0" applyBorder="0" applyAlignment="0" applyProtection="0"/>
    <xf numFmtId="0" fontId="3" fillId="0" borderId="0" applyFont="0" applyFill="0" applyBorder="0" applyAlignment="0" applyProtection="0"/>
    <xf numFmtId="0" fontId="43" fillId="80" borderId="0" applyNumberFormat="0" applyBorder="0" applyAlignment="0" applyProtection="0"/>
    <xf numFmtId="0" fontId="43" fillId="52" borderId="0" applyNumberFormat="0" applyBorder="0" applyAlignment="0" applyProtection="0"/>
    <xf numFmtId="0" fontId="43" fillId="46" borderId="0" applyNumberFormat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3" fillId="0" borderId="0" applyFill="0" applyBorder="0" applyAlignment="0" applyProtection="0"/>
    <xf numFmtId="176" fontId="3" fillId="0" borderId="0" applyFill="0" applyBorder="0" applyAlignment="0" applyProtection="0"/>
    <xf numFmtId="176" fontId="3" fillId="0" borderId="0" applyFill="0" applyBorder="0" applyAlignment="0" applyProtection="0"/>
    <xf numFmtId="0" fontId="45" fillId="56" borderId="0" applyNumberFormat="0" applyBorder="0" applyAlignment="0" applyProtection="0"/>
    <xf numFmtId="0" fontId="45" fillId="57" borderId="0" applyNumberFormat="0" applyBorder="0" applyAlignment="0" applyProtection="0"/>
    <xf numFmtId="0" fontId="46" fillId="57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2" fillId="0" borderId="0"/>
    <xf numFmtId="1" fontId="3" fillId="0" borderId="0"/>
    <xf numFmtId="0" fontId="47" fillId="0" borderId="0"/>
    <xf numFmtId="0" fontId="1" fillId="0" borderId="0"/>
    <xf numFmtId="0" fontId="3" fillId="0" borderId="0"/>
    <xf numFmtId="1" fontId="3" fillId="0" borderId="0"/>
    <xf numFmtId="0" fontId="3" fillId="0" borderId="0"/>
    <xf numFmtId="0" fontId="1" fillId="0" borderId="0"/>
    <xf numFmtId="0" fontId="1" fillId="14" borderId="16" applyNumberFormat="0" applyFont="0" applyAlignment="0" applyProtection="0"/>
    <xf numFmtId="0" fontId="3" fillId="47" borderId="22" applyNumberFormat="0" applyAlignment="0" applyProtection="0"/>
    <xf numFmtId="0" fontId="3" fillId="47" borderId="22" applyNumberFormat="0" applyAlignment="0" applyProtection="0"/>
    <xf numFmtId="0" fontId="3" fillId="48" borderId="22" applyNumberFormat="0" applyFon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8" fillId="68" borderId="23" applyNumberFormat="0" applyAlignment="0" applyProtection="0"/>
    <xf numFmtId="0" fontId="48" fillId="69" borderId="23" applyNumberFormat="0" applyAlignment="0" applyProtection="0"/>
    <xf numFmtId="0" fontId="48" fillId="51" borderId="23" applyNumberFormat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24" applyNumberFormat="0" applyFill="0" applyAlignment="0" applyProtection="0"/>
    <xf numFmtId="0" fontId="2" fillId="0" borderId="1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1" fillId="0" borderId="28" applyNumberFormat="0" applyFill="0" applyAlignment="0" applyProtection="0"/>
    <xf numFmtId="0" fontId="1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5" fillId="0" borderId="29" applyNumberFormat="0" applyFill="0" applyAlignment="0" applyProtection="0"/>
    <xf numFmtId="0" fontId="55" fillId="0" borderId="30" applyNumberFormat="0" applyFill="0" applyAlignment="0" applyProtection="0"/>
  </cellStyleXfs>
  <cellXfs count="118">
    <xf numFmtId="0" fontId="0" fillId="0" borderId="0" xfId="0"/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6" xfId="0" applyFont="1" applyBorder="1" applyAlignment="1" applyProtection="1">
      <alignment horizontal="center"/>
      <protection locked="0"/>
    </xf>
    <xf numFmtId="17" fontId="7" fillId="0" borderId="0" xfId="0" applyNumberFormat="1" applyFont="1" applyProtection="1"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" fontId="10" fillId="3" borderId="7" xfId="6" applyNumberFormat="1" applyFont="1" applyFill="1" applyBorder="1" applyAlignment="1" applyProtection="1">
      <alignment horizontal="center" vertical="center"/>
      <protection locked="0"/>
    </xf>
    <xf numFmtId="3" fontId="7" fillId="4" borderId="7" xfId="6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3" fontId="7" fillId="0" borderId="7" xfId="6" quotePrefix="1" applyNumberFormat="1" applyFont="1" applyBorder="1" applyAlignment="1" applyProtection="1">
      <alignment horizontal="left" vertical="center" indent="1"/>
      <protection locked="0"/>
    </xf>
    <xf numFmtId="3" fontId="7" fillId="0" borderId="7" xfId="6" quotePrefix="1" applyNumberFormat="1" applyFont="1" applyBorder="1" applyAlignment="1" applyProtection="1">
      <alignment horizontal="right" vertical="center"/>
      <protection locked="0"/>
    </xf>
    <xf numFmtId="3" fontId="3" fillId="0" borderId="7" xfId="6" quotePrefix="1" applyNumberFormat="1" applyBorder="1" applyAlignment="1" applyProtection="1">
      <alignment horizontal="right" vertical="center"/>
      <protection locked="0"/>
    </xf>
    <xf numFmtId="3" fontId="3" fillId="0" borderId="7" xfId="6" quotePrefix="1" applyNumberFormat="1" applyBorder="1" applyAlignment="1" applyProtection="1">
      <alignment horizontal="left" vertical="center" indent="3"/>
      <protection locked="0"/>
    </xf>
    <xf numFmtId="0" fontId="7" fillId="0" borderId="0" xfId="0" applyFont="1" applyAlignment="1" applyProtection="1">
      <alignment horizontal="right" vertical="center"/>
      <protection locked="0"/>
    </xf>
    <xf numFmtId="3" fontId="11" fillId="5" borderId="7" xfId="6" quotePrefix="1" applyNumberFormat="1" applyFont="1" applyFill="1" applyBorder="1" applyAlignment="1" applyProtection="1">
      <alignment horizontal="right" vertical="center"/>
      <protection locked="0"/>
    </xf>
    <xf numFmtId="3" fontId="7" fillId="6" borderId="7" xfId="6" applyNumberFormat="1" applyFont="1" applyFill="1" applyBorder="1" applyAlignment="1" applyProtection="1">
      <alignment horizontal="left" vertical="center"/>
      <protection locked="0"/>
    </xf>
    <xf numFmtId="43" fontId="7" fillId="6" borderId="6" xfId="1" applyFont="1" applyFill="1" applyBorder="1" applyAlignment="1" applyProtection="1">
      <alignment horizontal="right" vertical="center"/>
      <protection locked="0"/>
    </xf>
    <xf numFmtId="43" fontId="3" fillId="0" borderId="0" xfId="1" applyFont="1" applyAlignment="1" applyProtection="1">
      <alignment horizontal="right" vertical="center"/>
      <protection locked="0"/>
    </xf>
    <xf numFmtId="3" fontId="7" fillId="6" borderId="6" xfId="6" applyNumberFormat="1" applyFont="1" applyFill="1" applyBorder="1" applyAlignment="1" applyProtection="1">
      <alignment horizontal="right" vertical="center"/>
      <protection locked="0"/>
    </xf>
    <xf numFmtId="43" fontId="7" fillId="0" borderId="7" xfId="3" quotePrefix="1" applyFont="1" applyFill="1" applyBorder="1" applyAlignment="1" applyProtection="1">
      <alignment horizontal="right" vertical="center"/>
      <protection locked="0"/>
    </xf>
    <xf numFmtId="43" fontId="7" fillId="0" borderId="7" xfId="3" quotePrefix="1" applyFont="1" applyBorder="1" applyAlignment="1" applyProtection="1">
      <alignment horizontal="right" vertical="center"/>
      <protection locked="0"/>
    </xf>
    <xf numFmtId="43" fontId="7" fillId="0" borderId="7" xfId="1" quotePrefix="1" applyFont="1" applyFill="1" applyBorder="1" applyAlignment="1" applyProtection="1">
      <alignment horizontal="right" vertical="center"/>
      <protection locked="0"/>
    </xf>
    <xf numFmtId="4" fontId="7" fillId="0" borderId="7" xfId="6" quotePrefix="1" applyNumberFormat="1" applyFont="1" applyBorder="1" applyAlignment="1" applyProtection="1">
      <alignment horizontal="right" vertical="center"/>
      <protection locked="0"/>
    </xf>
    <xf numFmtId="3" fontId="10" fillId="5" borderId="7" xfId="6" quotePrefix="1" applyNumberFormat="1" applyFont="1" applyFill="1" applyBorder="1" applyAlignment="1" applyProtection="1">
      <alignment horizontal="right" vertical="center"/>
      <protection locked="0"/>
    </xf>
    <xf numFmtId="3" fontId="7" fillId="6" borderId="7" xfId="6" quotePrefix="1" applyNumberFormat="1" applyFont="1" applyFill="1" applyBorder="1" applyAlignment="1" applyProtection="1">
      <alignment horizontal="left" vertical="center"/>
      <protection locked="0"/>
    </xf>
    <xf numFmtId="3" fontId="10" fillId="7" borderId="7" xfId="6" applyNumberFormat="1" applyFont="1" applyFill="1" applyBorder="1" applyAlignment="1" applyProtection="1">
      <alignment horizontal="left" vertical="center"/>
      <protection locked="0"/>
    </xf>
    <xf numFmtId="3" fontId="10" fillId="7" borderId="7" xfId="6" applyNumberFormat="1" applyFont="1" applyFill="1" applyBorder="1" applyAlignment="1" applyProtection="1">
      <alignment horizontal="right" vertical="center"/>
      <protection locked="0"/>
    </xf>
    <xf numFmtId="1" fontId="3" fillId="0" borderId="0" xfId="6" applyProtection="1">
      <protection locked="0"/>
    </xf>
    <xf numFmtId="3" fontId="3" fillId="0" borderId="0" xfId="0" applyNumberFormat="1" applyFont="1" applyProtection="1">
      <protection locked="0"/>
    </xf>
    <xf numFmtId="43" fontId="7" fillId="6" borderId="6" xfId="3" applyFont="1" applyFill="1" applyBorder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horizontal="right" vertical="center"/>
      <protection locked="0"/>
    </xf>
    <xf numFmtId="4" fontId="7" fillId="6" borderId="6" xfId="6" applyNumberFormat="1" applyFont="1" applyFill="1" applyBorder="1" applyAlignment="1" applyProtection="1">
      <alignment horizontal="right" vertical="center"/>
      <protection locked="0"/>
    </xf>
    <xf numFmtId="4" fontId="7" fillId="6" borderId="6" xfId="1" applyNumberFormat="1" applyFont="1" applyFill="1" applyBorder="1" applyAlignment="1" applyProtection="1">
      <alignment horizontal="right" vertical="center"/>
      <protection locked="0"/>
    </xf>
    <xf numFmtId="166" fontId="3" fillId="0" borderId="0" xfId="1" applyNumberFormat="1" applyFont="1" applyFill="1" applyAlignment="1" applyProtection="1">
      <alignment horizontal="right" vertical="center"/>
      <protection locked="0"/>
    </xf>
    <xf numFmtId="166" fontId="3" fillId="0" borderId="7" xfId="1" quotePrefix="1" applyNumberFormat="1" applyFont="1" applyFill="1" applyBorder="1" applyAlignment="1" applyProtection="1">
      <alignment horizontal="right" vertical="center"/>
      <protection locked="0"/>
    </xf>
    <xf numFmtId="43" fontId="0" fillId="0" borderId="0" xfId="1" applyFont="1"/>
    <xf numFmtId="4" fontId="3" fillId="0" borderId="0" xfId="0" applyNumberFormat="1" applyFont="1" applyProtection="1">
      <protection locked="0"/>
    </xf>
    <xf numFmtId="0" fontId="14" fillId="0" borderId="0" xfId="0" applyFont="1" applyAlignment="1">
      <alignment vertical="center"/>
    </xf>
    <xf numFmtId="4" fontId="7" fillId="0" borderId="7" xfId="3" quotePrefix="1" applyNumberFormat="1" applyFont="1" applyBorder="1" applyAlignment="1" applyProtection="1">
      <alignment horizontal="right" vertical="center"/>
      <protection locked="0"/>
    </xf>
    <xf numFmtId="43" fontId="10" fillId="7" borderId="7" xfId="3" applyFont="1" applyFill="1" applyBorder="1" applyAlignment="1" applyProtection="1">
      <alignment horizontal="right" vertical="center"/>
      <protection locked="0"/>
    </xf>
    <xf numFmtId="43" fontId="7" fillId="0" borderId="7" xfId="3" applyFont="1" applyFill="1" applyBorder="1" applyAlignment="1" applyProtection="1">
      <alignment horizontal="right" vertical="center"/>
      <protection locked="0"/>
    </xf>
    <xf numFmtId="43" fontId="3" fillId="0" borderId="0" xfId="1" applyFont="1" applyProtection="1">
      <protection locked="0"/>
    </xf>
    <xf numFmtId="43" fontId="3" fillId="0" borderId="0" xfId="0" applyNumberFormat="1" applyFont="1" applyProtection="1">
      <protection locked="0"/>
    </xf>
    <xf numFmtId="43" fontId="7" fillId="7" borderId="7" xfId="1" applyFont="1" applyFill="1" applyBorder="1" applyAlignment="1" applyProtection="1">
      <alignment horizontal="right" vertical="center"/>
      <protection locked="0"/>
    </xf>
    <xf numFmtId="43" fontId="7" fillId="0" borderId="7" xfId="1" applyFont="1" applyBorder="1" applyAlignment="1" applyProtection="1">
      <alignment horizontal="right" vertical="center"/>
      <protection locked="0"/>
    </xf>
    <xf numFmtId="3" fontId="7" fillId="0" borderId="7" xfId="6" applyNumberFormat="1" applyFont="1" applyBorder="1" applyAlignment="1" applyProtection="1">
      <alignment horizontal="left" vertical="center"/>
      <protection locked="0"/>
    </xf>
    <xf numFmtId="3" fontId="7" fillId="0" borderId="9" xfId="6" applyNumberFormat="1" applyFont="1" applyBorder="1" applyAlignment="1" applyProtection="1">
      <alignment horizontal="right" vertical="center"/>
      <protection locked="0"/>
    </xf>
    <xf numFmtId="164" fontId="7" fillId="6" borderId="6" xfId="4" applyFont="1" applyFill="1" applyBorder="1" applyAlignment="1" applyProtection="1">
      <alignment horizontal="right" vertical="center"/>
      <protection locked="0"/>
    </xf>
    <xf numFmtId="3" fontId="7" fillId="7" borderId="7" xfId="6" applyNumberFormat="1" applyFont="1" applyFill="1" applyBorder="1" applyAlignment="1" applyProtection="1">
      <alignment horizontal="right" vertical="center"/>
      <protection locked="0"/>
    </xf>
    <xf numFmtId="4" fontId="7" fillId="7" borderId="7" xfId="6" applyNumberFormat="1" applyFont="1" applyFill="1" applyBorder="1" applyAlignment="1" applyProtection="1">
      <alignment horizontal="right" vertical="center"/>
      <protection locked="0"/>
    </xf>
    <xf numFmtId="167" fontId="7" fillId="0" borderId="7" xfId="6" quotePrefix="1" applyNumberFormat="1" applyFont="1" applyBorder="1" applyAlignment="1" applyProtection="1">
      <alignment horizontal="right" vertical="center"/>
      <protection locked="0"/>
    </xf>
    <xf numFmtId="0" fontId="0" fillId="0" borderId="2" xfId="0" applyBorder="1" applyProtection="1">
      <protection locked="0"/>
    </xf>
    <xf numFmtId="43" fontId="0" fillId="0" borderId="2" xfId="1" applyFont="1" applyFill="1" applyBorder="1" applyProtection="1">
      <protection locked="0"/>
    </xf>
    <xf numFmtId="43" fontId="31" fillId="0" borderId="0" xfId="1" applyFont="1"/>
    <xf numFmtId="0" fontId="30" fillId="0" borderId="0" xfId="0" applyFont="1"/>
    <xf numFmtId="172" fontId="3" fillId="0" borderId="0" xfId="1" applyNumberFormat="1" applyFont="1" applyAlignment="1" applyProtection="1">
      <alignment horizontal="right" vertical="center"/>
      <protection locked="0"/>
    </xf>
    <xf numFmtId="43" fontId="0" fillId="0" borderId="2" xfId="1" applyFont="1" applyBorder="1" applyProtection="1">
      <protection locked="0"/>
    </xf>
    <xf numFmtId="43" fontId="15" fillId="0" borderId="2" xfId="1" applyFont="1" applyFill="1" applyBorder="1" applyProtection="1">
      <protection locked="0"/>
    </xf>
    <xf numFmtId="166" fontId="3" fillId="0" borderId="0" xfId="1" applyNumberFormat="1" applyFont="1" applyProtection="1">
      <protection locked="0"/>
    </xf>
    <xf numFmtId="43" fontId="3" fillId="0" borderId="7" xfId="1" quotePrefix="1" applyFont="1" applyFill="1" applyBorder="1" applyAlignment="1" applyProtection="1">
      <alignment horizontal="center" vertical="center"/>
      <protection locked="0"/>
    </xf>
    <xf numFmtId="172" fontId="3" fillId="0" borderId="7" xfId="1" quotePrefix="1" applyNumberFormat="1" applyFont="1" applyFill="1" applyBorder="1" applyAlignment="1" applyProtection="1">
      <alignment horizontal="center" vertical="center"/>
      <protection locked="0"/>
    </xf>
    <xf numFmtId="43" fontId="3" fillId="0" borderId="7" xfId="1" quotePrefix="1" applyFont="1" applyBorder="1" applyAlignment="1" applyProtection="1">
      <alignment horizontal="right" vertical="center"/>
      <protection locked="0"/>
    </xf>
    <xf numFmtId="43" fontId="7" fillId="4" borderId="9" xfId="1" applyFont="1" applyFill="1" applyBorder="1" applyAlignment="1" applyProtection="1">
      <alignment horizontal="right" vertical="center"/>
      <protection locked="0"/>
    </xf>
    <xf numFmtId="43" fontId="7" fillId="4" borderId="7" xfId="1" applyFont="1" applyFill="1" applyBorder="1" applyAlignment="1" applyProtection="1">
      <alignment horizontal="right" vertical="center"/>
      <protection locked="0"/>
    </xf>
    <xf numFmtId="43" fontId="30" fillId="0" borderId="0" xfId="1" applyFont="1"/>
    <xf numFmtId="43" fontId="7" fillId="0" borderId="0" xfId="1" applyFont="1" applyAlignment="1" applyProtection="1">
      <alignment horizontal="right" vertical="center"/>
      <protection locked="0"/>
    </xf>
    <xf numFmtId="43" fontId="7" fillId="0" borderId="7" xfId="1" quotePrefix="1" applyFont="1" applyFill="1" applyBorder="1" applyAlignment="1" applyProtection="1">
      <alignment horizontal="center" vertical="center"/>
      <protection locked="0"/>
    </xf>
    <xf numFmtId="43" fontId="7" fillId="0" borderId="7" xfId="1" quotePrefix="1" applyFont="1" applyBorder="1" applyAlignment="1" applyProtection="1">
      <alignment horizontal="right" vertical="center"/>
      <protection locked="0"/>
    </xf>
    <xf numFmtId="43" fontId="7" fillId="0" borderId="7" xfId="1" quotePrefix="1" applyFont="1" applyBorder="1" applyAlignment="1" applyProtection="1">
      <alignment horizontal="center" vertical="center"/>
      <protection locked="0"/>
    </xf>
    <xf numFmtId="43" fontId="10" fillId="7" borderId="7" xfId="1" applyFont="1" applyFill="1" applyBorder="1" applyAlignment="1" applyProtection="1">
      <alignment horizontal="right" vertical="center"/>
      <protection locked="0"/>
    </xf>
    <xf numFmtId="43" fontId="15" fillId="39" borderId="2" xfId="1" applyFont="1" applyFill="1" applyBorder="1" applyProtection="1">
      <protection locked="0"/>
    </xf>
    <xf numFmtId="0" fontId="7" fillId="0" borderId="0" xfId="0" applyFont="1" applyProtection="1">
      <protection locked="0"/>
    </xf>
    <xf numFmtId="43" fontId="3" fillId="0" borderId="7" xfId="1" quotePrefix="1" applyFont="1" applyFill="1" applyBorder="1" applyAlignment="1" applyProtection="1">
      <alignment horizontal="center" vertical="center" wrapText="1"/>
      <protection locked="0"/>
    </xf>
    <xf numFmtId="0" fontId="15" fillId="0" borderId="0" xfId="0" applyFont="1"/>
    <xf numFmtId="43" fontId="15" fillId="0" borderId="0" xfId="1" applyFont="1" applyFill="1"/>
    <xf numFmtId="43" fontId="0" fillId="0" borderId="0" xfId="1" applyFont="1" applyFill="1"/>
    <xf numFmtId="0" fontId="31" fillId="0" borderId="0" xfId="0" applyFont="1"/>
    <xf numFmtId="166" fontId="31" fillId="0" borderId="0" xfId="1" applyNumberFormat="1" applyFont="1" applyFill="1"/>
    <xf numFmtId="166" fontId="30" fillId="0" borderId="0" xfId="1" applyNumberFormat="1" applyFont="1" applyFill="1"/>
    <xf numFmtId="43" fontId="15" fillId="40" borderId="2" xfId="1" applyFont="1" applyFill="1" applyBorder="1" applyProtection="1">
      <protection locked="0"/>
    </xf>
    <xf numFmtId="1" fontId="4" fillId="0" borderId="0" xfId="6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7" fontId="7" fillId="0" borderId="7" xfId="0" applyNumberFormat="1" applyFont="1" applyBorder="1" applyAlignment="1" applyProtection="1">
      <alignment horizontal="center" vertical="center" wrapText="1"/>
      <protection locked="0"/>
    </xf>
    <xf numFmtId="4" fontId="7" fillId="0" borderId="3" xfId="0" applyNumberFormat="1" applyFont="1" applyBorder="1" applyAlignment="1" applyProtection="1">
      <alignment horizontal="center" vertical="center"/>
      <protection locked="0"/>
    </xf>
    <xf numFmtId="4" fontId="7" fillId="0" borderId="5" xfId="0" applyNumberFormat="1" applyFont="1" applyBorder="1" applyAlignment="1" applyProtection="1">
      <alignment horizontal="center" vertical="center"/>
      <protection locked="0"/>
    </xf>
    <xf numFmtId="4" fontId="7" fillId="0" borderId="7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17" fontId="7" fillId="0" borderId="7" xfId="0" applyNumberFormat="1" applyFont="1" applyBorder="1" applyAlignment="1" applyProtection="1">
      <alignment horizontal="center" vertical="center"/>
      <protection locked="0"/>
    </xf>
    <xf numFmtId="0" fontId="0" fillId="0" borderId="2" xfId="0" applyNumberFormat="1" applyFill="1" applyBorder="1" applyProtection="1">
      <protection locked="0"/>
    </xf>
    <xf numFmtId="0" fontId="0" fillId="0" borderId="2" xfId="0" quotePrefix="1" applyNumberFormat="1" applyFill="1" applyBorder="1" applyProtection="1">
      <protection locked="0"/>
    </xf>
    <xf numFmtId="43" fontId="1" fillId="0" borderId="2" xfId="1" applyFont="1" applyFill="1" applyBorder="1" applyProtection="1">
      <protection locked="0"/>
    </xf>
    <xf numFmtId="43" fontId="30" fillId="0" borderId="0" xfId="1" applyFont="1" applyFill="1"/>
    <xf numFmtId="0" fontId="15" fillId="0" borderId="2" xfId="0" applyNumberFormat="1" applyFont="1" applyFill="1" applyBorder="1" applyProtection="1">
      <protection locked="0"/>
    </xf>
    <xf numFmtId="0" fontId="15" fillId="0" borderId="2" xfId="0" quotePrefix="1" applyNumberFormat="1" applyFont="1" applyFill="1" applyBorder="1" applyProtection="1">
      <protection locked="0"/>
    </xf>
    <xf numFmtId="43" fontId="0" fillId="40" borderId="2" xfId="1" applyFont="1" applyFill="1" applyBorder="1" applyProtection="1">
      <protection locked="0"/>
    </xf>
    <xf numFmtId="43" fontId="7" fillId="81" borderId="9" xfId="1" applyFont="1" applyFill="1" applyBorder="1" applyAlignment="1" applyProtection="1">
      <alignment horizontal="right" vertical="center"/>
      <protection locked="0"/>
    </xf>
    <xf numFmtId="0" fontId="3" fillId="81" borderId="0" xfId="0" applyFont="1" applyFill="1" applyAlignment="1" applyProtection="1">
      <alignment horizontal="center" vertical="center"/>
      <protection locked="0"/>
    </xf>
    <xf numFmtId="43" fontId="3" fillId="0" borderId="7" xfId="1" quotePrefix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43" fontId="3" fillId="0" borderId="0" xfId="1" applyFont="1" applyFill="1" applyAlignment="1" applyProtection="1">
      <alignment horizontal="right" vertical="center"/>
      <protection locked="0"/>
    </xf>
    <xf numFmtId="3" fontId="3" fillId="0" borderId="7" xfId="6" quotePrefix="1" applyNumberForma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3" fontId="7" fillId="0" borderId="7" xfId="6" quotePrefix="1" applyNumberFormat="1" applyFont="1" applyFill="1" applyBorder="1" applyAlignment="1" applyProtection="1">
      <alignment horizontal="right" vertical="center"/>
      <protection locked="0"/>
    </xf>
    <xf numFmtId="3" fontId="3" fillId="0" borderId="7" xfId="6" quotePrefix="1" applyNumberFormat="1" applyFill="1" applyBorder="1" applyAlignment="1" applyProtection="1">
      <alignment horizontal="right" vertical="center"/>
      <protection locked="0"/>
    </xf>
    <xf numFmtId="43" fontId="7" fillId="82" borderId="7" xfId="3" quotePrefix="1" applyFont="1" applyFill="1" applyBorder="1" applyAlignment="1" applyProtection="1">
      <alignment horizontal="right" vertical="center"/>
      <protection locked="0"/>
    </xf>
    <xf numFmtId="0" fontId="3" fillId="82" borderId="0" xfId="0" applyFont="1" applyFill="1" applyAlignment="1" applyProtection="1">
      <alignment horizontal="right" vertical="center"/>
      <protection locked="0"/>
    </xf>
    <xf numFmtId="3" fontId="3" fillId="82" borderId="7" xfId="6" quotePrefix="1" applyNumberFormat="1" applyFill="1" applyBorder="1" applyAlignment="1" applyProtection="1">
      <alignment horizontal="right" vertical="center"/>
      <protection locked="0"/>
    </xf>
  </cellXfs>
  <cellStyles count="268">
    <cellStyle name="20% - Énfasis1" xfId="26" builtinId="30" customBuiltin="1"/>
    <cellStyle name="20% - Énfasis1 2" xfId="115" xr:uid="{528CBEC6-7F63-4C42-90DD-FC4C3CFE07FF}"/>
    <cellStyle name="20% - Énfasis1 3" xfId="116" xr:uid="{C6CD1693-E022-4A29-881B-FC3E7239673F}"/>
    <cellStyle name="20% - Énfasis1 4" xfId="117" xr:uid="{D07ECF82-2C66-4839-BE7E-60CB2DAB97E1}"/>
    <cellStyle name="20% - Énfasis2" xfId="30" builtinId="34" customBuiltin="1"/>
    <cellStyle name="20% - Énfasis2 2" xfId="118" xr:uid="{7BC8A485-5AA3-4AB3-B282-2D3E8F1DD2A9}"/>
    <cellStyle name="20% - Énfasis2 3" xfId="119" xr:uid="{C9188264-2B4A-4C14-9B90-C1C3F804BF8A}"/>
    <cellStyle name="20% - Énfasis2 4" xfId="120" xr:uid="{D84CFB94-D258-4100-A75C-AC7AD7CDBCDC}"/>
    <cellStyle name="20% - Énfasis3" xfId="34" builtinId="38" customBuiltin="1"/>
    <cellStyle name="20% - Énfasis3 2" xfId="121" xr:uid="{CEF4A677-5172-4F0D-986E-0D5D043C58E5}"/>
    <cellStyle name="20% - Énfasis3 3" xfId="122" xr:uid="{0FDA2A1A-32FE-4D72-BCFC-33527B4351E7}"/>
    <cellStyle name="20% - Énfasis3 4" xfId="123" xr:uid="{AE9BDAE0-B97E-4F87-8000-7D1F833C2122}"/>
    <cellStyle name="20% - Énfasis4" xfId="38" builtinId="42" customBuiltin="1"/>
    <cellStyle name="20% - Énfasis4 2" xfId="124" xr:uid="{A2A72F2D-9047-4D5D-ACBE-2EDC9E1E0166}"/>
    <cellStyle name="20% - Énfasis4 3" xfId="125" xr:uid="{84CF7A68-F122-44F5-9786-70609291777D}"/>
    <cellStyle name="20% - Énfasis4 4" xfId="126" xr:uid="{465CECE2-F35C-4B89-A64F-277C3BA83F37}"/>
    <cellStyle name="20% - Énfasis5" xfId="42" builtinId="46" customBuiltin="1"/>
    <cellStyle name="20% - Énfasis5 2" xfId="127" xr:uid="{A5D87B77-4044-4FED-8EC5-6D783C599E3C}"/>
    <cellStyle name="20% - Énfasis6" xfId="46" builtinId="50" customBuiltin="1"/>
    <cellStyle name="20% - Énfasis6 2" xfId="128" xr:uid="{F2765881-BB2B-42F0-B8A8-657433D18A1F}"/>
    <cellStyle name="20% - Énfasis6 3" xfId="129" xr:uid="{D6DCC18B-02B8-432A-8D63-136D1B720267}"/>
    <cellStyle name="20% - Énfasis6 4" xfId="130" xr:uid="{6BB635CB-25C6-4A3E-8DDF-6C6E9A3EEF85}"/>
    <cellStyle name="40% - Énfasis1" xfId="27" builtinId="31" customBuiltin="1"/>
    <cellStyle name="40% - Énfasis1 2" xfId="131" xr:uid="{FA48700D-A6A4-4A19-A163-7AC36EEF479E}"/>
    <cellStyle name="40% - Énfasis1 3" xfId="132" xr:uid="{08E9C0C3-5351-49F6-AA22-1E3A8CF0C808}"/>
    <cellStyle name="40% - Énfasis1 4" xfId="133" xr:uid="{ED1529E1-FF34-4A92-A0E6-9407C3F9027E}"/>
    <cellStyle name="40% - Énfasis2" xfId="31" builtinId="35" customBuiltin="1"/>
    <cellStyle name="40% - Énfasis2 2" xfId="134" xr:uid="{1AD93FBC-E973-46F9-9FB0-30BBB4EB571E}"/>
    <cellStyle name="40% - Énfasis3" xfId="35" builtinId="39" customBuiltin="1"/>
    <cellStyle name="40% - Énfasis3 2" xfId="135" xr:uid="{4AA8D52B-ECBE-478E-8EB8-819C7B66AAD0}"/>
    <cellStyle name="40% - Énfasis3 3" xfId="136" xr:uid="{27485ACE-A9EB-4923-9135-CA16BF2CF2F3}"/>
    <cellStyle name="40% - Énfasis3 4" xfId="137" xr:uid="{4D7D29E7-3695-4266-A6F0-E723237F1AA0}"/>
    <cellStyle name="40% - Énfasis4" xfId="39" builtinId="43" customBuiltin="1"/>
    <cellStyle name="40% - Énfasis4 2" xfId="138" xr:uid="{617EA588-AA26-42BF-BC79-D8A18D753162}"/>
    <cellStyle name="40% - Énfasis4 3" xfId="139" xr:uid="{3AADFEAC-2141-43E0-9C1A-2538701D185C}"/>
    <cellStyle name="40% - Énfasis4 4" xfId="140" xr:uid="{FAA445D9-0CA5-4B75-A469-6F29164802F4}"/>
    <cellStyle name="40% - Énfasis5" xfId="43" builtinId="47" customBuiltin="1"/>
    <cellStyle name="40% - Énfasis5 2" xfId="141" xr:uid="{100F9061-99F6-4F2E-87D3-2F211251D0F6}"/>
    <cellStyle name="40% - Énfasis5 3" xfId="142" xr:uid="{A0CEFC45-2A48-4343-9C77-A92A4C2EA948}"/>
    <cellStyle name="40% - Énfasis5 4" xfId="143" xr:uid="{860624B8-4DBB-430D-8A27-D60471F3C5FF}"/>
    <cellStyle name="40% - Énfasis6" xfId="47" builtinId="51" customBuiltin="1"/>
    <cellStyle name="40% - Énfasis6 2" xfId="144" xr:uid="{5B85CFB3-A520-48A0-AF09-B72EC0AD2FA1}"/>
    <cellStyle name="40% - Énfasis6 3" xfId="145" xr:uid="{2147C33E-891D-4B3D-BF08-E6D5D516BCC5}"/>
    <cellStyle name="40% - Énfasis6 4" xfId="146" xr:uid="{58EA8CC3-606D-4B24-8D82-F9245B9661D7}"/>
    <cellStyle name="60% - Énfasis1" xfId="28" builtinId="32" customBuiltin="1"/>
    <cellStyle name="60% - Énfasis1 2" xfId="147" xr:uid="{8B22C00D-64CF-4BE6-B56C-C451515CB1FE}"/>
    <cellStyle name="60% - Énfasis1 3" xfId="148" xr:uid="{EC68AC34-71F2-4658-9BFB-95F921F3CA53}"/>
    <cellStyle name="60% - Énfasis1 4" xfId="149" xr:uid="{F1BED25C-F89C-4CB1-B661-2B553B0BEFAB}"/>
    <cellStyle name="60% - Énfasis2" xfId="32" builtinId="36" customBuiltin="1"/>
    <cellStyle name="60% - Énfasis2 2" xfId="150" xr:uid="{5EF9446C-6A0F-4A29-AEA1-9E4D3A7190E8}"/>
    <cellStyle name="60% - Énfasis2 3" xfId="151" xr:uid="{DB7E281D-D824-4B76-805F-5F4BC76EC2BC}"/>
    <cellStyle name="60% - Énfasis2 4" xfId="152" xr:uid="{0DD05FAA-CA96-4A4C-8765-CBAF62F97E96}"/>
    <cellStyle name="60% - Énfasis3" xfId="36" builtinId="40" customBuiltin="1"/>
    <cellStyle name="60% - Énfasis3 2" xfId="153" xr:uid="{FD753B3A-9A95-4022-A6F6-53F0E0562759}"/>
    <cellStyle name="60% - Énfasis3 3" xfId="154" xr:uid="{235E0C42-E43B-4393-9FCC-1B0A9A61A8A7}"/>
    <cellStyle name="60% - Énfasis3 4" xfId="155" xr:uid="{7C0CBE3E-513C-4C06-8C1B-A4E0350D5B69}"/>
    <cellStyle name="60% - Énfasis4" xfId="40" builtinId="44" customBuiltin="1"/>
    <cellStyle name="60% - Énfasis4 2" xfId="156" xr:uid="{FA8F8E62-376B-48B6-8470-4A35D7A55705}"/>
    <cellStyle name="60% - Énfasis4 3" xfId="157" xr:uid="{A599A4EE-0E29-447B-9CE5-9ECC952DEDEB}"/>
    <cellStyle name="60% - Énfasis4 4" xfId="158" xr:uid="{B0AE6491-6A31-4DEB-BC17-A2C766502149}"/>
    <cellStyle name="60% - Énfasis5" xfId="44" builtinId="48" customBuiltin="1"/>
    <cellStyle name="60% - Énfasis5 2" xfId="159" xr:uid="{60E10DD2-08D4-4B3A-AFA6-45E294C8A490}"/>
    <cellStyle name="60% - Énfasis5 3" xfId="160" xr:uid="{D656B673-4FE0-4B8D-839D-143925C121C5}"/>
    <cellStyle name="60% - Énfasis5 4" xfId="161" xr:uid="{71FAB7C4-E70B-4646-89D9-F739AE90359C}"/>
    <cellStyle name="60% - Énfasis6" xfId="48" builtinId="52" customBuiltin="1"/>
    <cellStyle name="60% - Énfasis6 2" xfId="162" xr:uid="{DD4ECA67-68C7-487D-A699-77ADDED9409B}"/>
    <cellStyle name="60% - Énfasis6 3" xfId="163" xr:uid="{995EBB2B-0FFA-4BB7-A9DC-E77334312DCC}"/>
    <cellStyle name="60% - Énfasis6 4" xfId="164" xr:uid="{2DFBC4BE-DD5C-43CE-99C5-213FAED2E731}"/>
    <cellStyle name="Buena" xfId="165" xr:uid="{439035B2-CF8B-4C3E-A149-E0FB659C9BFA}"/>
    <cellStyle name="Buena 2" xfId="166" xr:uid="{ECC4517A-EC6A-4C42-876B-A92C176E5A04}"/>
    <cellStyle name="Buena 3" xfId="167" xr:uid="{633F1E3A-22C5-4813-9716-1CB25727BCB2}"/>
    <cellStyle name="Bueno" xfId="13" builtinId="26" customBuiltin="1"/>
    <cellStyle name="Bueno 2" xfId="168" xr:uid="{F6922F16-52B8-473A-B263-43B6AE9385CB}"/>
    <cellStyle name="Cálculo" xfId="18" builtinId="22" customBuiltin="1"/>
    <cellStyle name="Cálculo 2" xfId="169" xr:uid="{7835F847-9FC0-480D-9084-14511A52A244}"/>
    <cellStyle name="Cálculo 3" xfId="170" xr:uid="{97D3D8D6-AF86-4038-9EA1-6D55CA395B30}"/>
    <cellStyle name="Cálculo 4" xfId="171" xr:uid="{F1A1A8BC-62E9-42CE-A053-89301116A934}"/>
    <cellStyle name="Celda de comprobación" xfId="20" builtinId="23" customBuiltin="1"/>
    <cellStyle name="Celda de comprobación 2" xfId="172" xr:uid="{24C30708-E899-47DA-A371-CFE813E52D62}"/>
    <cellStyle name="Celda vinculada" xfId="19" builtinId="24" customBuiltin="1"/>
    <cellStyle name="Celda vinculada 2" xfId="173" xr:uid="{56963FD9-F72D-4A20-8243-E0EE1767428C}"/>
    <cellStyle name="Celda vinculada 3" xfId="174" xr:uid="{EC766F41-185E-4D0A-B607-AE8A49F73134}"/>
    <cellStyle name="Celda vinculada 4" xfId="175" xr:uid="{062C79A3-0AC9-433E-B470-75ECED17B137}"/>
    <cellStyle name="Encabezado 1" xfId="9" builtinId="16" customBuiltin="1"/>
    <cellStyle name="Encabezado 4" xfId="12" builtinId="19" customBuiltin="1"/>
    <cellStyle name="Encabezado 4 2" xfId="176" xr:uid="{9FB9230A-A18D-4834-90E9-0A5594328936}"/>
    <cellStyle name="Encabezado 4 3" xfId="177" xr:uid="{EFBD8652-6287-4D43-95D7-8AB75BB1E178}"/>
    <cellStyle name="Encabezado 4 4" xfId="178" xr:uid="{D0C18925-FA22-4BB2-8392-73E619E78E02}"/>
    <cellStyle name="Énfasis1" xfId="25" builtinId="29" customBuiltin="1"/>
    <cellStyle name="Énfasis1 2" xfId="179" xr:uid="{210438AE-0ECA-4A9B-9CD5-880D5A90C2A5}"/>
    <cellStyle name="Énfasis1 3" xfId="180" xr:uid="{CD72E7CD-412F-4EAD-AB95-714A5A03CF65}"/>
    <cellStyle name="Énfasis1 4" xfId="181" xr:uid="{908D8D5C-10E0-4089-A6C3-38D145642728}"/>
    <cellStyle name="Énfasis2" xfId="29" builtinId="33" customBuiltin="1"/>
    <cellStyle name="Énfasis2 2" xfId="182" xr:uid="{C948B3C8-DF34-44B1-ADA3-A6E07DAFC5DC}"/>
    <cellStyle name="Énfasis2 3" xfId="183" xr:uid="{6E18A448-A63F-4FC8-A5AE-317A4C0F5493}"/>
    <cellStyle name="Énfasis2 4" xfId="184" xr:uid="{9D79CF2A-C6F8-4615-8000-F28A78C6DA6A}"/>
    <cellStyle name="Énfasis3" xfId="33" builtinId="37" customBuiltin="1"/>
    <cellStyle name="Énfasis3 2" xfId="185" xr:uid="{A5E5E1C4-D76F-4BCC-B9C7-D8EB06E13A85}"/>
    <cellStyle name="Énfasis3 3" xfId="186" xr:uid="{149B203C-7511-4933-9ADA-777C18B1492C}"/>
    <cellStyle name="Énfasis3 4" xfId="187" xr:uid="{1EFBB4AB-BF5C-4F98-BB0F-2136FF9D409E}"/>
    <cellStyle name="Énfasis4" xfId="37" builtinId="41" customBuiltin="1"/>
    <cellStyle name="Énfasis4 2" xfId="188" xr:uid="{DF2EAAA5-DDF6-4092-99A9-C6541BF8C19B}"/>
    <cellStyle name="Énfasis4 3" xfId="189" xr:uid="{04EA1A5A-1CEF-4962-92A6-B714EEEA4323}"/>
    <cellStyle name="Énfasis4 4" xfId="190" xr:uid="{CC54C26A-3FF9-40F4-B1E9-EF00B9585908}"/>
    <cellStyle name="Énfasis5" xfId="41" builtinId="45" customBuiltin="1"/>
    <cellStyle name="Énfasis5 2" xfId="191" xr:uid="{44408DEF-5E91-4406-A46C-88DD46EF90BF}"/>
    <cellStyle name="Énfasis6" xfId="45" builtinId="49" customBuiltin="1"/>
    <cellStyle name="Énfasis6 2" xfId="192" xr:uid="{4428882A-F9E2-42CD-B27B-A11EED1BE5F6}"/>
    <cellStyle name="Énfasis6 3" xfId="193" xr:uid="{8C88E3E3-A7B4-486C-AB14-0D7A974687D3}"/>
    <cellStyle name="Énfasis6 4" xfId="194" xr:uid="{79DF61D3-088E-4E8E-8D1E-32C62AB73358}"/>
    <cellStyle name="Entrada" xfId="16" builtinId="20" customBuiltin="1"/>
    <cellStyle name="Entrada 2" xfId="195" xr:uid="{2878958B-7C5E-4A5A-AE9E-8C8CAC1CA061}"/>
    <cellStyle name="Entrada 3" xfId="196" xr:uid="{8F9F9D88-868E-4520-AD21-9EFC9FC34282}"/>
    <cellStyle name="Entrada 4" xfId="197" xr:uid="{9B87CD59-D3E0-43F6-9143-2656A77C330F}"/>
    <cellStyle name="Euro" xfId="198" xr:uid="{B8D8A2E1-7150-4A23-A183-448CA1B4D0D4}"/>
    <cellStyle name="Euro 2" xfId="199" xr:uid="{7CC2E981-A797-4B9B-82E9-B2358A6C704D}"/>
    <cellStyle name="Euro 2 2" xfId="200" xr:uid="{9ED0F2B9-C7FC-4817-841E-77686DE10905}"/>
    <cellStyle name="Euro 2_BCE" xfId="201" xr:uid="{E05A648E-D21C-48F4-914B-DAC2ECF3155D}"/>
    <cellStyle name="Euro_ALTAS Y BAJAS ACUMULADO" xfId="202" xr:uid="{714C22F0-E2C8-452A-B50A-A5B0CF043C76}"/>
    <cellStyle name="Incorrecto" xfId="14" builtinId="27" customBuiltin="1"/>
    <cellStyle name="Incorrecto 2" xfId="203" xr:uid="{5AB82A4B-9F3A-4473-95B9-7B51301F83CC}"/>
    <cellStyle name="Incorrecto 3" xfId="204" xr:uid="{CCCC25BE-C916-4F34-9766-BA7729065128}"/>
    <cellStyle name="Incorrecto 4" xfId="205" xr:uid="{45CC68A3-2B32-47EF-8025-13773D17B1BB}"/>
    <cellStyle name="Millares" xfId="1" builtinId="3"/>
    <cellStyle name="Millares [0] 2" xfId="2" xr:uid="{8CCB4468-2910-44DE-99A2-86530D6D4DAF}"/>
    <cellStyle name="Millares [0] 2 2" xfId="68" xr:uid="{BC125E41-C8BE-45D7-BCE1-42A16F1D71BF}"/>
    <cellStyle name="Millares [0] 2_Hoja1" xfId="206" xr:uid="{2874ED60-119D-4BEA-8C1C-BA18E663877B}"/>
    <cellStyle name="Millares [0] 3" xfId="64" xr:uid="{63264F82-3190-4726-B04A-825EC702727F}"/>
    <cellStyle name="Millares [0] 4" xfId="207" xr:uid="{AB4894D4-4728-4658-9B1D-93F3022A6763}"/>
    <cellStyle name="Millares 10" xfId="72" xr:uid="{E3DC15EC-82B7-4497-AF7D-7CDE37C9A80D}"/>
    <cellStyle name="Millares 11" xfId="73" xr:uid="{7A95FD3C-7E26-4156-BC13-7498DEC489A3}"/>
    <cellStyle name="Millares 12" xfId="74" xr:uid="{FEEDE807-EF1E-4620-AC2C-9A8E5428B12C}"/>
    <cellStyle name="Millares 13" xfId="75" xr:uid="{4442FD9A-9CDB-4414-ADC2-860D493A74FC}"/>
    <cellStyle name="Millares 14" xfId="76" xr:uid="{8198C766-4493-4EBF-930C-EC493B559A26}"/>
    <cellStyle name="Millares 15" xfId="77" xr:uid="{BBE35E63-E919-4352-A2DD-F257CC1176FE}"/>
    <cellStyle name="Millares 16" xfId="78" xr:uid="{8B1E4999-3BBA-481B-8443-313407B5F69E}"/>
    <cellStyle name="Millares 17" xfId="79" xr:uid="{6FE2FB8E-C60A-408B-BB6C-BB92B4DA1CAE}"/>
    <cellStyle name="Millares 18" xfId="80" xr:uid="{BF7E38E4-75F1-4324-830E-2A4EE0D30DF9}"/>
    <cellStyle name="Millares 19" xfId="81" xr:uid="{76882A01-65A2-4376-8AAF-EAC7B95E0C95}"/>
    <cellStyle name="Millares 2" xfId="3" xr:uid="{9CADCEE6-760C-419C-9643-7A647FDDD510}"/>
    <cellStyle name="Millares 2 2" xfId="67" xr:uid="{5514BF8C-861A-4A5E-A60B-E7E699EF7FE8}"/>
    <cellStyle name="Millares 2 2 2" xfId="208" xr:uid="{D5F227DF-57CD-41F5-AA4C-44FE0838394C}"/>
    <cellStyle name="Millares 2 2 3" xfId="209" xr:uid="{4CEB823D-E10F-4B03-BFF9-34AC4CE0ECA5}"/>
    <cellStyle name="Millares 2 2_Hoja1" xfId="210" xr:uid="{55639E41-9B5E-44AA-8CFA-FC0A1F59109F}"/>
    <cellStyle name="Millares 2 3" xfId="65" xr:uid="{699AACCF-6946-4508-B29D-EFD09F664AA6}"/>
    <cellStyle name="Millares 2 4" xfId="50" xr:uid="{C1D93BE9-1FEA-4AF9-8F63-7B86CF4379BA}"/>
    <cellStyle name="Millares 2_BCE" xfId="211" xr:uid="{717AF84B-4927-46C0-965D-07D5DAA1A631}"/>
    <cellStyle name="Millares 20" xfId="82" xr:uid="{085D0BA5-4EA6-4F89-A0D1-2E30B166FCA0}"/>
    <cellStyle name="Millares 21" xfId="83" xr:uid="{A797D51E-D516-455B-B2AD-66176EE6FD49}"/>
    <cellStyle name="Millares 22" xfId="84" xr:uid="{25FEBF66-B3BC-45A1-B704-DB67F7BDABCB}"/>
    <cellStyle name="Millares 23" xfId="85" xr:uid="{26D6D5B8-0514-4902-B994-0227ECA4D12C}"/>
    <cellStyle name="Millares 24" xfId="86" xr:uid="{272069F2-07C8-4E28-A9F2-4198DB5D9E6F}"/>
    <cellStyle name="Millares 25" xfId="87" xr:uid="{C01E0D77-E3E3-4AA7-9B63-7F7D612508EA}"/>
    <cellStyle name="Millares 26" xfId="88" xr:uid="{846EFA4C-283A-4B80-8B0E-8231060D65B6}"/>
    <cellStyle name="Millares 27" xfId="89" xr:uid="{32E6E355-C30D-4D2C-A456-FB4F09223609}"/>
    <cellStyle name="Millares 28" xfId="90" xr:uid="{E67599DB-1794-4271-A07C-1357E8E71A84}"/>
    <cellStyle name="Millares 29" xfId="91" xr:uid="{4EF79AA0-4D9D-4CF6-8470-A695FE9956BE}"/>
    <cellStyle name="Millares 3" xfId="4" xr:uid="{C00C92B2-937E-46B8-9056-2C09D0655F7A}"/>
    <cellStyle name="Millares 3 2" xfId="69" xr:uid="{86E24EE6-F510-4A26-A25E-75ABD84DF91E}"/>
    <cellStyle name="Millares 3 3" xfId="63" xr:uid="{139FF5B0-FF79-4E2F-A3AF-22813AE3C3D0}"/>
    <cellStyle name="Millares 3_ESTRUC" xfId="212" xr:uid="{6A2893B1-B8BC-4D21-90CB-9253A11B5239}"/>
    <cellStyle name="Millares 30" xfId="92" xr:uid="{3685C0A4-0B57-4819-98A7-CCECA42A71AE}"/>
    <cellStyle name="Millares 31" xfId="93" xr:uid="{6F4D1CB4-7017-4E1F-863A-6DBEE1F1CF41}"/>
    <cellStyle name="Millares 32" xfId="94" xr:uid="{8AF5DA02-7811-4FC5-9EEF-5E3A5C3F1B64}"/>
    <cellStyle name="Millares 33" xfId="95" xr:uid="{54EC0E54-7080-4669-B11D-F5070D2A34D0}"/>
    <cellStyle name="Millares 34" xfId="96" xr:uid="{F243E86D-16C3-46C1-84D4-8CB11C8984CF}"/>
    <cellStyle name="Millares 35" xfId="97" xr:uid="{16090996-BA0E-486B-B6B5-7253828D98D7}"/>
    <cellStyle name="Millares 36" xfId="98" xr:uid="{4E6F6DAE-9535-49B0-B8CE-41E81D6AD503}"/>
    <cellStyle name="Millares 37" xfId="99" xr:uid="{5713DF61-90E8-4AFF-AA3B-C1BA866E5BEE}"/>
    <cellStyle name="Millares 38" xfId="100" xr:uid="{6526A348-343B-4125-9137-146AAEC288E4}"/>
    <cellStyle name="Millares 39" xfId="60" xr:uid="{FFB9D83D-5673-473B-90D1-EBA7732F3F16}"/>
    <cellStyle name="Millares 4" xfId="5" xr:uid="{FD8E93BA-D2D0-4EFF-B6C4-4146A96C6220}"/>
    <cellStyle name="Millares 4 2" xfId="70" xr:uid="{0BE16412-23CD-49A4-BCF2-AB131A9AD7EC}"/>
    <cellStyle name="Millares 4_Hoja1" xfId="213" xr:uid="{A5DC3121-CF3A-45E9-92B8-B8A02C9D1FEE}"/>
    <cellStyle name="Millares 40" xfId="62" xr:uid="{F0E09939-1A5C-4783-A052-966AC2258779}"/>
    <cellStyle name="Millares 41" xfId="61" xr:uid="{1BCA4B88-CB3C-4976-A198-AA9DB0D202CF}"/>
    <cellStyle name="Millares 42" xfId="101" xr:uid="{2363C9AB-F92D-43DB-A61F-02AAB1AED616}"/>
    <cellStyle name="Millares 43" xfId="102" xr:uid="{F70E2FBF-FED5-4255-B628-F622EEA33D3B}"/>
    <cellStyle name="Millares 44" xfId="103" xr:uid="{06CE0477-0447-4D0B-B6BB-4AB072D45244}"/>
    <cellStyle name="Millares 45" xfId="104" xr:uid="{85AE4C1A-AAB0-405A-9CAD-2B8B1E3C5C71}"/>
    <cellStyle name="Millares 46" xfId="105" xr:uid="{2AA933E4-D9AE-4A02-AD84-B831FF5ACAE6}"/>
    <cellStyle name="Millares 47" xfId="106" xr:uid="{516D467C-BFF1-4719-BDC1-09544AFEC017}"/>
    <cellStyle name="Millares 48" xfId="107" xr:uid="{95748305-969E-46BF-BA7C-380A54629337}"/>
    <cellStyle name="Millares 49" xfId="108" xr:uid="{F0696E66-AEF7-4EF2-8450-D0463BD33A8D}"/>
    <cellStyle name="Millares 5" xfId="54" xr:uid="{A1ADD995-470E-4D32-85BC-8CD106470B52}"/>
    <cellStyle name="Millares 50" xfId="109" xr:uid="{BA8A67E9-FD46-4DB5-A225-12B2853EE09F}"/>
    <cellStyle name="Millares 51" xfId="110" xr:uid="{95EEE1BB-C307-44E7-A083-901D41765EBD}"/>
    <cellStyle name="Millares 52" xfId="111" xr:uid="{CDB9151F-048A-4730-8915-637B17503B92}"/>
    <cellStyle name="Millares 53" xfId="56" xr:uid="{5F87AB4A-4EC4-42AD-96ED-9BD7D74EFB82}"/>
    <cellStyle name="Millares 54" xfId="55" xr:uid="{0CFF1F66-92D3-4F85-884E-18E1805EA54D}"/>
    <cellStyle name="Millares 55" xfId="49" xr:uid="{FAC12387-2C78-4E71-9D40-CC9FC90F3353}"/>
    <cellStyle name="Millares 56" xfId="52" xr:uid="{CE993766-F1CD-496D-89BC-406B750931A1}"/>
    <cellStyle name="Millares 57" xfId="53" xr:uid="{610AEE8C-A2FB-4F02-BC8D-9DE5F18E9B82}"/>
    <cellStyle name="Millares 58" xfId="51" xr:uid="{4E00A465-3161-4943-A72E-A8629A213DFA}"/>
    <cellStyle name="Millares 59" xfId="112" xr:uid="{59AB8EBE-CF02-46B0-8650-FA16003C426F}"/>
    <cellStyle name="Millares 6" xfId="57" xr:uid="{D3F86E1C-3096-497B-8B9A-DCD620226899}"/>
    <cellStyle name="Millares 60" xfId="113" xr:uid="{415CF201-0627-4E1B-B294-8CB01DF83E4B}"/>
    <cellStyle name="Millares 61" xfId="114" xr:uid="{0B5431EE-561F-4A25-8A53-8C80B2FB4839}"/>
    <cellStyle name="Millares 7" xfId="59" xr:uid="{D2760D1D-509F-4672-9332-4AA4946FED2D}"/>
    <cellStyle name="Millares 8" xfId="58" xr:uid="{0095BCDD-9089-48E5-A1C8-E476B03C3DF3}"/>
    <cellStyle name="Millares 9" xfId="71" xr:uid="{70F887EB-94D1-4C76-8AD9-2C3489AF8374}"/>
    <cellStyle name="Moneda 2" xfId="214" xr:uid="{1BE4DEF8-DF3C-4631-95F8-CD7DA877FE35}"/>
    <cellStyle name="Moneda 2 2" xfId="215" xr:uid="{665487FB-BFB6-4D77-85F7-5CD508B4D9D1}"/>
    <cellStyle name="Moneda 2_BCE" xfId="216" xr:uid="{809C8658-9768-4C50-822C-36CDAE39E376}"/>
    <cellStyle name="Neutral" xfId="15" builtinId="28" customBuiltin="1"/>
    <cellStyle name="Neutral 2" xfId="217" xr:uid="{4B2DA444-85CB-4E58-838C-42FFDF0A2071}"/>
    <cellStyle name="Neutral 3" xfId="218" xr:uid="{D98DC192-24EB-44F5-AFB7-2D062A6CA5D3}"/>
    <cellStyle name="Neutral 4" xfId="219" xr:uid="{15C4AB48-A24B-4B71-9E66-8DE3CEA9BB48}"/>
    <cellStyle name="Normal" xfId="0" builtinId="0"/>
    <cellStyle name="Normal 10" xfId="220" xr:uid="{9BAD658B-9C1B-4F20-B12C-F49D4BF6F30E}"/>
    <cellStyle name="Normal 11" xfId="221" xr:uid="{13F9B9E3-E415-4C98-9924-8C9EA72B7701}"/>
    <cellStyle name="Normal 12" xfId="222" xr:uid="{40A362D1-B053-4C8D-AB35-D2E2191D6DF1}"/>
    <cellStyle name="Normal 2" xfId="6" xr:uid="{2DD6E384-70EC-4A22-8A93-CF688F2689CE}"/>
    <cellStyle name="Normal 2 2" xfId="66" xr:uid="{2C7EF46E-6287-4C68-AAEE-2F9A8E405284}"/>
    <cellStyle name="Normal 2 2 2" xfId="223" xr:uid="{1B0BAFFF-35FC-4FA8-852B-80EADBACB1E6}"/>
    <cellStyle name="Normal 2 2_BCE" xfId="224" xr:uid="{81A00104-59FF-45F1-B0BB-514ADCF34E19}"/>
    <cellStyle name="Normal 2 3" xfId="225" xr:uid="{1A39BF9E-5550-44DF-B110-DACEE3F20F7D}"/>
    <cellStyle name="Normal 2_BCE" xfId="226" xr:uid="{A23C7C59-4CFA-41B5-98FC-D06E096997AF}"/>
    <cellStyle name="Normal 3" xfId="227" xr:uid="{BC6F88AE-68FA-4957-8D35-484B3DE96CAD}"/>
    <cellStyle name="Normal 3 2" xfId="228" xr:uid="{91603D30-5303-4F8B-B06F-3E192AADD776}"/>
    <cellStyle name="Normal 3_BCE" xfId="229" xr:uid="{C9AAE976-CD70-405B-8FAC-F73059C24065}"/>
    <cellStyle name="Normal 4" xfId="230" xr:uid="{01267683-840B-4C54-A3BD-D834A117A994}"/>
    <cellStyle name="Normal 5" xfId="231" xr:uid="{5E3AC171-B470-4343-9C3C-77827C26864B}"/>
    <cellStyle name="Normal 6" xfId="232" xr:uid="{40B59E18-1557-4108-99FB-BC876D8A5EEE}"/>
    <cellStyle name="Normal 7" xfId="233" xr:uid="{65836815-A6B9-4B25-BA37-45BDB365B6D6}"/>
    <cellStyle name="Normal 8" xfId="234" xr:uid="{616504E5-2B74-41BB-A710-AE954F6FD9B1}"/>
    <cellStyle name="Normal 8 2" xfId="235" xr:uid="{19B2D0DD-B836-4795-9717-1F463D96B9E1}"/>
    <cellStyle name="Normal 9" xfId="236" xr:uid="{9895CA91-53DD-4CA4-BB99-C1AB325222C8}"/>
    <cellStyle name="Normal 9 2" xfId="237" xr:uid="{19B31110-3C82-4468-A8FD-D39C4B6FAAFC}"/>
    <cellStyle name="Notas" xfId="22" builtinId="10" customBuiltin="1"/>
    <cellStyle name="Notas 2" xfId="238" xr:uid="{D236D88D-9E3A-4595-AE98-CE379B643031}"/>
    <cellStyle name="Notas 2 2" xfId="239" xr:uid="{5EE88C0C-2B64-459A-93D0-B6091FB1EC3A}"/>
    <cellStyle name="Notas 2_BCE" xfId="240" xr:uid="{80C808F1-840F-46F3-B0D6-447179797E45}"/>
    <cellStyle name="Notas 3" xfId="241" xr:uid="{C5054E49-B5F9-4696-AEF1-6BDBDB742AAE}"/>
    <cellStyle name="Porcentaje 2" xfId="242" xr:uid="{DB227741-50F6-4F20-8021-9E8D3E69AB3C}"/>
    <cellStyle name="Porcentaje 3" xfId="243" xr:uid="{713C5E43-5301-49B6-AC94-9E813D814CDE}"/>
    <cellStyle name="Porcentaje 4" xfId="244" xr:uid="{6143AADF-A5C7-47A0-81C8-A1C4C71A7DD4}"/>
    <cellStyle name="Porcentual 2" xfId="245" xr:uid="{006AC4B4-0E02-4003-84D1-C4F6A3C33B82}"/>
    <cellStyle name="Porcentual 3" xfId="246" xr:uid="{96CDCC4E-DB58-4D6B-93C2-960D9DA82B13}"/>
    <cellStyle name="Salida" xfId="17" builtinId="21" customBuiltin="1"/>
    <cellStyle name="Salida 2" xfId="247" xr:uid="{45A174DA-D0D4-4FA2-A23D-090F260CCBD1}"/>
    <cellStyle name="Salida 3" xfId="248" xr:uid="{733C748F-2369-4190-BE58-7D85709513CF}"/>
    <cellStyle name="Salida 4" xfId="249" xr:uid="{9C2D6731-3E76-40A7-AA19-43F45B5D486F}"/>
    <cellStyle name="Texto de advertencia" xfId="21" builtinId="11" customBuiltin="1"/>
    <cellStyle name="Texto de advertencia 2" xfId="250" xr:uid="{D5BF62FC-3EAF-4B02-9E22-384979C608CE}"/>
    <cellStyle name="Texto explicativo" xfId="23" builtinId="53" customBuiltin="1"/>
    <cellStyle name="Texto explicativo 2" xfId="251" xr:uid="{BE62C985-0C18-48F6-8465-1E9C5A0F7774}"/>
    <cellStyle name="Título" xfId="8" builtinId="15" customBuiltin="1"/>
    <cellStyle name="Título 1" xfId="7" xr:uid="{7007496C-A1DE-47C1-A7EF-F02654C487FA}"/>
    <cellStyle name="Título 1 2" xfId="252" xr:uid="{B095DBC4-47CB-461E-BC85-715E736D4A14}"/>
    <cellStyle name="Título 1 3" xfId="253" xr:uid="{7C5E2F63-58CA-4F86-8422-3939E8F552B3}"/>
    <cellStyle name="Título 2" xfId="10" builtinId="17" customBuiltin="1"/>
    <cellStyle name="Título 2 2" xfId="254" xr:uid="{0C920DC9-A2DC-464D-878B-6FBF2E176406}"/>
    <cellStyle name="Título 2 3" xfId="255" xr:uid="{BB2E5AF8-500E-41B4-8B52-52F567371531}"/>
    <cellStyle name="Título 2 4" xfId="256" xr:uid="{4C82165B-BE23-409A-90BD-D9817D9DE17F}"/>
    <cellStyle name="Título 3" xfId="11" builtinId="18" customBuiltin="1"/>
    <cellStyle name="Título 3 2" xfId="257" xr:uid="{FB427CF7-C0FF-4A58-A91A-C66C6A7F6811}"/>
    <cellStyle name="Título 3 3" xfId="258" xr:uid="{FDFB1A38-BCF4-4AD3-A417-17AA55BC811D}"/>
    <cellStyle name="Título 3 4" xfId="259" xr:uid="{84AB1F4C-4E8E-4871-9304-884042C498EE}"/>
    <cellStyle name="Título 4" xfId="260" xr:uid="{B536067B-B07F-48B9-B9D4-35E13B6F51BE}"/>
    <cellStyle name="Título 4 2" xfId="261" xr:uid="{FF9E1F05-C73F-486B-AEEE-3423D942EC9D}"/>
    <cellStyle name="Título 4_real" xfId="262" xr:uid="{3BD55021-AA8C-47C5-BEEB-7E0CB508DC96}"/>
    <cellStyle name="Título 5" xfId="263" xr:uid="{DABDC6F7-B4FB-4908-99F0-6398D6FD0A5D}"/>
    <cellStyle name="Título 6" xfId="264" xr:uid="{96131D6F-15AE-43B6-B5B4-957E0149C728}"/>
    <cellStyle name="Total" xfId="24" builtinId="25" customBuiltin="1"/>
    <cellStyle name="Total 2" xfId="265" xr:uid="{B0504F1A-228C-4CEB-9803-20E8B802612A}"/>
    <cellStyle name="Total 3" xfId="266" xr:uid="{5510D6C8-DF82-44FE-8AC4-885078C96692}"/>
    <cellStyle name="Total 4" xfId="267" xr:uid="{4C189EE6-6049-4B71-873A-089D4362DFB0}"/>
  </cellStyles>
  <dxfs count="0"/>
  <tableStyles count="1" defaultTableStyle="TableStyleMedium2" defaultPivotStyle="PivotStyleLight16">
    <tableStyle name="Invisible" pivot="0" table="0" count="0" xr9:uid="{B6108D91-18BA-43BA-B1EF-4F10048747E0}"/>
  </tableStyles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2" dT="2023-08-09T22:18:21.64" personId="{00000000-0000-0000-0000-000000000000}" id="{AB13C535-44F1-437E-875D-EF333D87BF6F}">
    <text>Focus euro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73B7-98E6-4613-8477-6BE7B8C9A0E3}">
  <sheetPr>
    <pageSetUpPr fitToPage="1"/>
  </sheetPr>
  <dimension ref="A1:N63375"/>
  <sheetViews>
    <sheetView tabSelected="1" zoomScale="91" zoomScaleNormal="91" workbookViewId="0">
      <selection activeCell="B2" sqref="B2:N2"/>
    </sheetView>
  </sheetViews>
  <sheetFormatPr baseColWidth="10" defaultColWidth="11.453125" defaultRowHeight="12.5" x14ac:dyDescent="0.25"/>
  <cols>
    <col min="1" max="1" width="1.7265625" style="1" customWidth="1"/>
    <col min="2" max="2" width="35.81640625" style="1" customWidth="1"/>
    <col min="3" max="3" width="1.1796875" style="1" customWidth="1"/>
    <col min="4" max="4" width="18.26953125" style="1" customWidth="1"/>
    <col min="5" max="5" width="0.7265625" style="1" customWidth="1"/>
    <col min="6" max="6" width="15.26953125" style="1" customWidth="1"/>
    <col min="7" max="7" width="1.1796875" style="1" customWidth="1"/>
    <col min="8" max="8" width="18" style="1" customWidth="1"/>
    <col min="9" max="9" width="1.1796875" style="1" customWidth="1"/>
    <col min="10" max="10" width="15.26953125" style="1" customWidth="1"/>
    <col min="11" max="11" width="0.7265625" style="1" customWidth="1"/>
    <col min="12" max="12" width="15.26953125" style="1" customWidth="1"/>
    <col min="13" max="13" width="1.54296875" style="1" customWidth="1"/>
    <col min="14" max="14" width="15.26953125" style="1" customWidth="1"/>
    <col min="15" max="16384" width="11.453125" style="1"/>
  </cols>
  <sheetData>
    <row r="1" spans="1:14" ht="7.5" customHeight="1" x14ac:dyDescent="0.25">
      <c r="A1" s="1" t="s">
        <v>0</v>
      </c>
    </row>
    <row r="2" spans="1:14" ht="18" x14ac:dyDescent="0.4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4" spans="1:14" s="2" customFormat="1" ht="20" x14ac:dyDescent="0.4">
      <c r="B4" s="84" t="s">
        <v>2</v>
      </c>
      <c r="C4" s="85"/>
      <c r="D4" s="85"/>
      <c r="E4" s="85"/>
      <c r="F4" s="85"/>
      <c r="G4" s="85"/>
      <c r="H4" s="86"/>
    </row>
    <row r="5" spans="1:14" s="2" customFormat="1" ht="20.25" customHeight="1" x14ac:dyDescent="0.4">
      <c r="B5" s="3" t="s">
        <v>39</v>
      </c>
      <c r="N5" s="1"/>
    </row>
    <row r="6" spans="1:14" ht="15" customHeight="1" x14ac:dyDescent="0.3">
      <c r="B6" s="4"/>
    </row>
    <row r="7" spans="1:14" ht="12.75" customHeight="1" x14ac:dyDescent="0.25">
      <c r="B7" s="5"/>
      <c r="C7" s="5"/>
      <c r="D7" s="87" t="s">
        <v>4</v>
      </c>
      <c r="E7" s="87"/>
      <c r="F7" s="88" t="s">
        <v>5</v>
      </c>
      <c r="G7" s="88"/>
      <c r="H7" s="89" t="str">
        <f>+B5&amp;" (Mes)"</f>
        <v>Mayo  (Mes)</v>
      </c>
      <c r="I7" s="89"/>
      <c r="J7" s="90">
        <v>4292.22</v>
      </c>
      <c r="K7" s="91"/>
      <c r="N7" s="39"/>
    </row>
    <row r="8" spans="1:14" ht="12.75" customHeight="1" x14ac:dyDescent="0.25">
      <c r="B8" s="5"/>
      <c r="C8" s="5"/>
      <c r="D8" s="87"/>
      <c r="E8" s="87"/>
      <c r="F8" s="88"/>
      <c r="G8" s="88"/>
      <c r="H8" s="89" t="s">
        <v>114</v>
      </c>
      <c r="I8" s="89"/>
      <c r="J8" s="90">
        <v>4248.62</v>
      </c>
      <c r="K8" s="91"/>
      <c r="N8" s="40"/>
    </row>
    <row r="9" spans="1:14" ht="12.75" customHeight="1" x14ac:dyDescent="0.25">
      <c r="B9" s="5"/>
      <c r="C9" s="5"/>
      <c r="D9" s="87"/>
      <c r="E9" s="87"/>
      <c r="F9" s="88"/>
      <c r="G9" s="88"/>
      <c r="H9" s="89" t="s">
        <v>7</v>
      </c>
      <c r="I9" s="89"/>
      <c r="J9" s="92">
        <v>4412.5</v>
      </c>
      <c r="K9" s="92"/>
      <c r="N9" s="40"/>
    </row>
    <row r="10" spans="1:14" ht="12.75" customHeight="1" x14ac:dyDescent="0.3">
      <c r="B10" s="5"/>
      <c r="C10" s="5"/>
      <c r="D10" s="87"/>
      <c r="E10" s="87"/>
      <c r="F10" s="88" t="s">
        <v>8</v>
      </c>
      <c r="G10" s="88"/>
      <c r="H10" s="98" t="str">
        <f>+B5</f>
        <v xml:space="preserve">Mayo </v>
      </c>
      <c r="I10" s="98"/>
      <c r="J10" s="92">
        <f>+AVERAGE(J7:K8)</f>
        <v>4270.42</v>
      </c>
      <c r="K10" s="88"/>
      <c r="L10" s="74"/>
    </row>
    <row r="11" spans="1:14" ht="13" x14ac:dyDescent="0.3">
      <c r="B11" s="4"/>
    </row>
    <row r="12" spans="1:14" s="6" customFormat="1" ht="12.75" customHeight="1" x14ac:dyDescent="0.35">
      <c r="B12" s="93" t="s">
        <v>9</v>
      </c>
      <c r="D12" s="95" t="s">
        <v>10</v>
      </c>
      <c r="E12" s="96"/>
      <c r="F12" s="96"/>
      <c r="G12" s="96"/>
      <c r="H12" s="97"/>
      <c r="I12" s="7"/>
      <c r="J12" s="95" t="s">
        <v>11</v>
      </c>
      <c r="K12" s="96"/>
      <c r="L12" s="96"/>
      <c r="M12" s="96"/>
      <c r="N12" s="97"/>
    </row>
    <row r="13" spans="1:14" s="6" customFormat="1" ht="12.75" customHeight="1" x14ac:dyDescent="0.35">
      <c r="B13" s="94"/>
      <c r="D13" s="8" t="s">
        <v>12</v>
      </c>
      <c r="F13" s="8" t="s">
        <v>13</v>
      </c>
      <c r="H13" s="8" t="s">
        <v>14</v>
      </c>
      <c r="J13" s="8" t="s">
        <v>12</v>
      </c>
      <c r="L13" s="8" t="s">
        <v>13</v>
      </c>
      <c r="N13" s="8" t="s">
        <v>14</v>
      </c>
    </row>
    <row r="14" spans="1:14" ht="14.25" customHeight="1" x14ac:dyDescent="0.25">
      <c r="B14" s="9" t="s">
        <v>15</v>
      </c>
      <c r="D14" s="106">
        <v>2345403.6682743998</v>
      </c>
      <c r="E14" s="107"/>
      <c r="F14" s="106">
        <v>11063666.575725598</v>
      </c>
      <c r="G14" s="106"/>
      <c r="H14" s="106">
        <v>13409070.254000001</v>
      </c>
      <c r="I14" s="19"/>
      <c r="J14" s="65">
        <f>+D14/$J$8</f>
        <v>552.03893694291321</v>
      </c>
      <c r="K14" s="19"/>
      <c r="L14" s="65">
        <f>+F14/$J$8</f>
        <v>2604.0612188723862</v>
      </c>
      <c r="M14" s="19"/>
      <c r="N14" s="66">
        <f>+J14+L14</f>
        <v>3156.1001558152993</v>
      </c>
    </row>
    <row r="15" spans="1:14" ht="14.25" customHeight="1" x14ac:dyDescent="0.25">
      <c r="B15" s="11" t="s">
        <v>16</v>
      </c>
      <c r="D15" s="108">
        <v>-657882.85932289995</v>
      </c>
      <c r="E15" s="109"/>
      <c r="F15" s="75">
        <v>-6128778.3830000004</v>
      </c>
      <c r="G15" s="110"/>
      <c r="H15" s="62">
        <f>+D15+F15</f>
        <v>-6786661.2423229003</v>
      </c>
      <c r="I15" s="10"/>
      <c r="J15" s="24">
        <f>+D15/$J$10</f>
        <v>-154.05577421492498</v>
      </c>
      <c r="K15" s="32"/>
      <c r="L15" s="24">
        <f>+F15/$J$10</f>
        <v>-1435.1699324656593</v>
      </c>
      <c r="M15" s="32"/>
      <c r="N15" s="24">
        <f>+J15+L15</f>
        <v>-1589.2257066805842</v>
      </c>
    </row>
    <row r="16" spans="1:14" ht="14.25" customHeight="1" x14ac:dyDescent="0.25">
      <c r="B16" s="11" t="s">
        <v>17</v>
      </c>
      <c r="D16" s="37"/>
      <c r="E16" s="36"/>
      <c r="F16" s="62">
        <v>9250501.806322895</v>
      </c>
      <c r="G16" s="111"/>
      <c r="H16" s="108">
        <f>F16</f>
        <v>9250501.806322895</v>
      </c>
      <c r="I16" s="10"/>
      <c r="J16" s="24">
        <f>+D16/$J$10</f>
        <v>0</v>
      </c>
      <c r="K16" s="32"/>
      <c r="L16" s="24">
        <f>+F16/$J$10</f>
        <v>2166.1807986855847</v>
      </c>
      <c r="M16" s="32"/>
      <c r="N16" s="24">
        <f>+J16+L16</f>
        <v>2166.1807986855847</v>
      </c>
    </row>
    <row r="17" spans="2:14" ht="14.25" customHeight="1" x14ac:dyDescent="0.25">
      <c r="B17" s="11" t="s">
        <v>18</v>
      </c>
      <c r="D17" s="62">
        <v>508817.62359149993</v>
      </c>
      <c r="E17" s="63"/>
      <c r="F17" s="62">
        <f>-D17</f>
        <v>-508817.62359149993</v>
      </c>
      <c r="G17" s="112"/>
      <c r="H17" s="108">
        <f>+D17+F17</f>
        <v>0</v>
      </c>
      <c r="I17" s="10"/>
      <c r="J17" s="24">
        <f>+D17/$J$7</f>
        <v>118.54416213323174</v>
      </c>
      <c r="K17" s="32"/>
      <c r="L17" s="24">
        <f>+F17/$J$7</f>
        <v>-118.54416213323174</v>
      </c>
      <c r="M17" s="32"/>
      <c r="N17" s="24">
        <f t="shared" ref="N17:N20" si="0">+J17+L17</f>
        <v>0</v>
      </c>
    </row>
    <row r="18" spans="2:14" ht="14.25" customHeight="1" x14ac:dyDescent="0.25">
      <c r="B18" s="11" t="s">
        <v>19</v>
      </c>
      <c r="D18" s="37"/>
      <c r="E18" s="36"/>
      <c r="F18" s="37"/>
      <c r="G18" s="112"/>
      <c r="H18" s="113">
        <f>SUM(D18:F18)</f>
        <v>0</v>
      </c>
      <c r="I18" s="10"/>
      <c r="J18" s="24">
        <f>+D18/$J$10</f>
        <v>0</v>
      </c>
      <c r="K18" s="32"/>
      <c r="L18" s="24">
        <f>+F18/$J$10</f>
        <v>0</v>
      </c>
      <c r="M18" s="32"/>
      <c r="N18" s="24">
        <f t="shared" si="0"/>
        <v>0</v>
      </c>
    </row>
    <row r="19" spans="2:14" ht="14.25" customHeight="1" x14ac:dyDescent="0.25">
      <c r="B19" s="14" t="s">
        <v>20</v>
      </c>
      <c r="D19" s="114"/>
      <c r="E19" s="112"/>
      <c r="F19" s="114"/>
      <c r="G19" s="112"/>
      <c r="H19" s="113">
        <f>SUM(D19:F19)</f>
        <v>0</v>
      </c>
      <c r="I19" s="10"/>
      <c r="J19" s="24">
        <f>+D19/$J$10</f>
        <v>0</v>
      </c>
      <c r="K19" s="33"/>
      <c r="L19" s="24">
        <f>+F19/$J$10</f>
        <v>0</v>
      </c>
      <c r="M19" s="33"/>
      <c r="N19" s="24">
        <f t="shared" si="0"/>
        <v>0</v>
      </c>
    </row>
    <row r="20" spans="2:14" ht="14.25" customHeight="1" x14ac:dyDescent="0.25">
      <c r="B20" s="14" t="s">
        <v>21</v>
      </c>
      <c r="D20" s="16"/>
      <c r="E20" s="10"/>
      <c r="F20" s="16"/>
      <c r="G20" s="10"/>
      <c r="H20" s="16">
        <f>+D20+F20</f>
        <v>0</v>
      </c>
      <c r="I20" s="10"/>
      <c r="J20" s="24">
        <f>+J22-SUM(J14:J19)</f>
        <v>-4.8251212129914052</v>
      </c>
      <c r="K20" s="33"/>
      <c r="L20" s="24">
        <f>+L22-SUM(L14:L19)</f>
        <v>-30.164601541027423</v>
      </c>
      <c r="M20" s="33"/>
      <c r="N20" s="24">
        <f t="shared" si="0"/>
        <v>-34.989722754018828</v>
      </c>
    </row>
    <row r="21" spans="2:14" ht="14.25" customHeight="1" x14ac:dyDescent="0.25">
      <c r="B21" s="11" t="s">
        <v>22</v>
      </c>
      <c r="D21" s="12">
        <f>SUM(D19:D20)</f>
        <v>0</v>
      </c>
      <c r="E21" s="10"/>
      <c r="F21" s="12">
        <f>SUM(F19:F20)</f>
        <v>0</v>
      </c>
      <c r="G21" s="10"/>
      <c r="H21" s="12">
        <f>SUM(H19:H20)</f>
        <v>0</v>
      </c>
      <c r="I21" s="10"/>
      <c r="J21" s="24">
        <f>SUM(J19:J20)</f>
        <v>-4.8251212129914052</v>
      </c>
      <c r="K21" s="32"/>
      <c r="L21" s="24">
        <f>SUM(L19:L20)</f>
        <v>-30.164601541027423</v>
      </c>
      <c r="M21" s="32"/>
      <c r="N21" s="24">
        <f>SUM(N19:N20)</f>
        <v>-34.989722754018828</v>
      </c>
    </row>
    <row r="22" spans="2:14" ht="14.25" customHeight="1" x14ac:dyDescent="0.25">
      <c r="B22" s="17" t="s">
        <v>23</v>
      </c>
      <c r="D22" s="18">
        <f>SUM(D14:D17)</f>
        <v>2196338.4325429997</v>
      </c>
      <c r="E22" s="19"/>
      <c r="F22" s="18">
        <f>SUM(F14:F18)</f>
        <v>13676572.375456994</v>
      </c>
      <c r="G22" s="58"/>
      <c r="H22" s="18">
        <f>SUM(H14:H18,H21)</f>
        <v>15872910.817999996</v>
      </c>
      <c r="I22" s="10"/>
      <c r="J22" s="34">
        <f>+D22/$J$7</f>
        <v>511.70220364822859</v>
      </c>
      <c r="K22" s="32"/>
      <c r="L22" s="34">
        <f>+F22/$J$7</f>
        <v>3186.3633214180527</v>
      </c>
      <c r="M22" s="32"/>
      <c r="N22" s="18">
        <f>SUM(N14:N18,N21)</f>
        <v>3698.0655250662812</v>
      </c>
    </row>
    <row r="23" spans="2:14" ht="14.25" customHeight="1" x14ac:dyDescent="0.25">
      <c r="B23" s="11" t="s">
        <v>24</v>
      </c>
      <c r="D23" s="115">
        <v>-363721.74</v>
      </c>
      <c r="E23" s="116"/>
      <c r="F23" s="117">
        <v>0</v>
      </c>
      <c r="G23" s="116"/>
      <c r="H23" s="115">
        <v>-363721.74000000011</v>
      </c>
      <c r="I23" s="10"/>
      <c r="J23" s="24">
        <f>+D23/$J$8</f>
        <v>-85.609383752842106</v>
      </c>
      <c r="K23" s="32"/>
      <c r="L23" s="24">
        <f>+F23/$J$8</f>
        <v>0</v>
      </c>
      <c r="M23" s="32"/>
      <c r="N23" s="41">
        <f>+J23+L23</f>
        <v>-85.609383752842106</v>
      </c>
    </row>
    <row r="24" spans="2:14" ht="14.25" customHeight="1" x14ac:dyDescent="0.25">
      <c r="B24" s="11" t="s">
        <v>25</v>
      </c>
      <c r="D24" s="23">
        <v>-81486.880999999878</v>
      </c>
      <c r="E24" s="10"/>
      <c r="F24" s="13"/>
      <c r="G24" s="10"/>
      <c r="H24" s="22">
        <f>D24</f>
        <v>-81486.880999999878</v>
      </c>
      <c r="I24" s="10"/>
      <c r="J24" s="24">
        <f>+D24/$J$10</f>
        <v>-19.081701799822937</v>
      </c>
      <c r="K24" s="32"/>
      <c r="L24" s="24">
        <f>+F24/$J$10</f>
        <v>0</v>
      </c>
      <c r="M24" s="32"/>
      <c r="N24" s="24">
        <f>+J24+L24</f>
        <v>-19.081701799822937</v>
      </c>
    </row>
    <row r="25" spans="2:14" ht="14.25" customHeight="1" x14ac:dyDescent="0.25">
      <c r="B25" s="11" t="s">
        <v>26</v>
      </c>
      <c r="D25" s="64"/>
      <c r="E25" s="10"/>
      <c r="F25" s="13"/>
      <c r="G25" s="10"/>
      <c r="H25" s="22">
        <f>+D25+F25</f>
        <v>0</v>
      </c>
      <c r="I25" s="10"/>
      <c r="J25" s="24">
        <f>+D25/$J$10</f>
        <v>0</v>
      </c>
      <c r="K25" s="32"/>
      <c r="L25" s="24">
        <f>+F25/$J$10</f>
        <v>0</v>
      </c>
      <c r="M25" s="32"/>
      <c r="N25" s="24">
        <f>+J25+L25</f>
        <v>0</v>
      </c>
    </row>
    <row r="26" spans="2:14" ht="14.25" customHeight="1" x14ac:dyDescent="0.25">
      <c r="B26" s="14" t="s">
        <v>20</v>
      </c>
      <c r="D26" s="13"/>
      <c r="E26" s="10"/>
      <c r="F26" s="13"/>
      <c r="G26" s="10"/>
      <c r="H26" s="12">
        <f>+D26+F26</f>
        <v>0</v>
      </c>
      <c r="I26" s="15"/>
      <c r="J26" s="24">
        <f>+D26/$J$10</f>
        <v>0</v>
      </c>
      <c r="K26" s="33"/>
      <c r="L26" s="24">
        <f>+F26/$J$10</f>
        <v>0</v>
      </c>
      <c r="M26" s="33"/>
      <c r="N26" s="24">
        <f>+J26+L26</f>
        <v>0</v>
      </c>
    </row>
    <row r="27" spans="2:14" ht="14.25" customHeight="1" x14ac:dyDescent="0.25">
      <c r="B27" s="14" t="s">
        <v>21</v>
      </c>
      <c r="D27" s="16"/>
      <c r="E27" s="10"/>
      <c r="F27" s="16"/>
      <c r="G27" s="10"/>
      <c r="H27" s="25">
        <f>+D27+F27</f>
        <v>0</v>
      </c>
      <c r="I27" s="15"/>
      <c r="J27" s="24">
        <f>+J29-SUM(J23:J26)</f>
        <v>0.96652786456894546</v>
      </c>
      <c r="K27" s="33"/>
      <c r="L27" s="24">
        <f>+L29-SUM(L23:L26)</f>
        <v>0</v>
      </c>
      <c r="M27" s="33"/>
      <c r="N27" s="24">
        <f>+J27+L27</f>
        <v>0.96652786456894546</v>
      </c>
    </row>
    <row r="28" spans="2:14" ht="14.25" customHeight="1" x14ac:dyDescent="0.25">
      <c r="B28" s="11" t="s">
        <v>22</v>
      </c>
      <c r="D28" s="12">
        <f>SUM(D26:D27)</f>
        <v>0</v>
      </c>
      <c r="E28" s="10"/>
      <c r="F28" s="12">
        <f>SUM(F26:F27)</f>
        <v>0</v>
      </c>
      <c r="G28" s="10"/>
      <c r="H28" s="12">
        <f>SUM(H26:H27)</f>
        <v>0</v>
      </c>
      <c r="I28" s="10"/>
      <c r="J28" s="24">
        <f>SUM(J26:J27)</f>
        <v>0.96652786456894546</v>
      </c>
      <c r="K28" s="32"/>
      <c r="L28" s="24">
        <f>SUM(L26:L27)</f>
        <v>0</v>
      </c>
      <c r="M28" s="32"/>
      <c r="N28" s="24">
        <f>SUM(N26:N27)</f>
        <v>0.96652786456894546</v>
      </c>
    </row>
    <row r="29" spans="2:14" ht="14.25" customHeight="1" x14ac:dyDescent="0.25">
      <c r="B29" s="26" t="s">
        <v>27</v>
      </c>
      <c r="D29" s="18">
        <f>SUM(D23:D25,D28)</f>
        <v>-445208.62099999987</v>
      </c>
      <c r="E29" s="19"/>
      <c r="F29" s="18">
        <f>SUM(F23:F25,F28)</f>
        <v>0</v>
      </c>
      <c r="G29" s="19"/>
      <c r="H29" s="18">
        <f>SUM(H23:H25,H28)</f>
        <v>-445208.62099999998</v>
      </c>
      <c r="I29" s="10"/>
      <c r="J29" s="35">
        <f>+D29/$J$7</f>
        <v>-103.7245576880961</v>
      </c>
      <c r="K29" s="32"/>
      <c r="L29" s="34">
        <f>+F29/$J$7</f>
        <v>0</v>
      </c>
      <c r="M29" s="32"/>
      <c r="N29" s="35">
        <f>SUM(N23:N25,N28)</f>
        <v>-103.7245576880961</v>
      </c>
    </row>
    <row r="30" spans="2:14" ht="17.25" customHeight="1" x14ac:dyDescent="0.25">
      <c r="B30" s="27" t="s">
        <v>28</v>
      </c>
      <c r="D30" s="72">
        <f>+D22+D29</f>
        <v>1751129.8115429999</v>
      </c>
      <c r="E30" s="19"/>
      <c r="F30" s="72">
        <f>+F22+F29</f>
        <v>13676572.375456994</v>
      </c>
      <c r="G30" s="19"/>
      <c r="H30" s="72">
        <f>+H22+H29</f>
        <v>15427702.196999997</v>
      </c>
      <c r="I30" s="10"/>
      <c r="J30" s="28">
        <f>+J22+J29</f>
        <v>407.97764596013246</v>
      </c>
      <c r="K30" s="10"/>
      <c r="L30" s="28">
        <f>+L22+L29</f>
        <v>3186.3633214180527</v>
      </c>
      <c r="M30" s="10"/>
      <c r="N30" s="42">
        <f>+N22+N29</f>
        <v>3594.3409673781853</v>
      </c>
    </row>
    <row r="31" spans="2:14" ht="13.5" customHeight="1" x14ac:dyDescent="0.25">
      <c r="B31" s="29"/>
      <c r="D31" s="30"/>
      <c r="F31" s="30"/>
      <c r="H31" s="44"/>
    </row>
    <row r="32" spans="2:14" ht="13.5" customHeight="1" x14ac:dyDescent="0.25">
      <c r="H32" s="45"/>
    </row>
    <row r="33" spans="2:14" s="6" customFormat="1" ht="12.75" customHeight="1" x14ac:dyDescent="0.35">
      <c r="B33" s="93" t="s">
        <v>29</v>
      </c>
      <c r="D33" s="95" t="s">
        <v>10</v>
      </c>
      <c r="E33" s="96"/>
      <c r="F33" s="96"/>
      <c r="G33" s="96"/>
      <c r="H33" s="97"/>
      <c r="I33" s="7"/>
      <c r="J33" s="95" t="s">
        <v>11</v>
      </c>
      <c r="K33" s="96"/>
      <c r="L33" s="96"/>
      <c r="M33" s="96"/>
      <c r="N33" s="97"/>
    </row>
    <row r="34" spans="2:14" s="6" customFormat="1" ht="12.75" customHeight="1" x14ac:dyDescent="0.35">
      <c r="B34" s="94"/>
      <c r="D34" s="8" t="s">
        <v>12</v>
      </c>
      <c r="F34" s="8" t="s">
        <v>13</v>
      </c>
      <c r="H34" s="8" t="s">
        <v>14</v>
      </c>
      <c r="J34" s="8" t="s">
        <v>12</v>
      </c>
      <c r="L34" s="8" t="s">
        <v>13</v>
      </c>
      <c r="N34" s="8" t="s">
        <v>14</v>
      </c>
    </row>
    <row r="35" spans="2:14" ht="14.25" customHeight="1" x14ac:dyDescent="0.25">
      <c r="B35" s="48" t="s">
        <v>30</v>
      </c>
      <c r="D35" s="47">
        <v>1628964.5416799001</v>
      </c>
      <c r="E35" s="47"/>
      <c r="F35" s="47">
        <v>16159180.314169524</v>
      </c>
      <c r="G35" s="19"/>
      <c r="H35" s="47">
        <v>17788144.85584943</v>
      </c>
      <c r="I35" s="10"/>
      <c r="J35" s="49">
        <f>+D35/$J$9</f>
        <v>369.17043437504822</v>
      </c>
      <c r="K35" s="10"/>
      <c r="L35" s="49">
        <f>+F35/$J$9</f>
        <v>3662.1371816814785</v>
      </c>
      <c r="M35" s="10"/>
      <c r="N35" s="43">
        <f>+J35+L35</f>
        <v>4031.307616056527</v>
      </c>
    </row>
    <row r="36" spans="2:14" ht="14.25" customHeight="1" x14ac:dyDescent="0.25">
      <c r="B36" s="11" t="s">
        <v>31</v>
      </c>
      <c r="D36" s="23">
        <v>-2513077.6393229002</v>
      </c>
      <c r="E36" s="68">
        <v>0</v>
      </c>
      <c r="F36" s="69">
        <v>-32646832.167000003</v>
      </c>
      <c r="G36" s="68"/>
      <c r="H36" s="69">
        <f>+D36+F36</f>
        <v>-35159909.806322902</v>
      </c>
      <c r="I36" s="10"/>
      <c r="J36" s="12">
        <f>+D36/$J$7</f>
        <v>-585.49599958131228</v>
      </c>
      <c r="K36" s="10"/>
      <c r="L36" s="12">
        <f>+F36/$J$7</f>
        <v>-7606.048191145841</v>
      </c>
      <c r="M36" s="10"/>
      <c r="N36" s="22">
        <f t="shared" ref="N36:N41" si="1">+J36+L36</f>
        <v>-8191.5441907271534</v>
      </c>
    </row>
    <row r="37" spans="2:14" ht="14.25" customHeight="1" x14ac:dyDescent="0.25">
      <c r="B37" s="11" t="s">
        <v>32</v>
      </c>
      <c r="D37" s="70">
        <v>0</v>
      </c>
      <c r="E37" s="68">
        <v>0</v>
      </c>
      <c r="F37" s="71">
        <v>33244675.77432289</v>
      </c>
      <c r="G37" s="71"/>
      <c r="H37" s="71">
        <f>+D37+F37</f>
        <v>33244675.77432289</v>
      </c>
      <c r="I37" s="10"/>
      <c r="J37" s="12">
        <f>+D37/$J$7</f>
        <v>0</v>
      </c>
      <c r="K37" s="10"/>
      <c r="L37" s="12">
        <f>+F37/$J$7</f>
        <v>7745.3335976075059</v>
      </c>
      <c r="M37" s="10"/>
      <c r="N37" s="22">
        <f t="shared" si="1"/>
        <v>7745.3335976075059</v>
      </c>
    </row>
    <row r="38" spans="2:14" ht="14.25" customHeight="1" x14ac:dyDescent="0.25">
      <c r="B38" s="11" t="s">
        <v>33</v>
      </c>
      <c r="D38" s="69">
        <v>3080451.5318658999</v>
      </c>
      <c r="E38" s="71">
        <v>0</v>
      </c>
      <c r="F38" s="69">
        <v>-3080451.5318658999</v>
      </c>
      <c r="G38" s="68"/>
      <c r="H38" s="70"/>
      <c r="I38" s="10"/>
      <c r="J38" s="12">
        <f>+D38/$J$7</f>
        <v>717.68258194265434</v>
      </c>
      <c r="K38" s="10"/>
      <c r="L38" s="12">
        <f>+F38/$J$7</f>
        <v>-717.68258194265434</v>
      </c>
      <c r="M38" s="10"/>
      <c r="N38" s="22">
        <f t="shared" si="1"/>
        <v>0</v>
      </c>
    </row>
    <row r="39" spans="2:14" ht="14.25" customHeight="1" x14ac:dyDescent="0.25">
      <c r="B39" s="11" t="s">
        <v>19</v>
      </c>
      <c r="D39" s="13"/>
      <c r="E39" s="10"/>
      <c r="F39" s="13"/>
      <c r="G39" s="10"/>
      <c r="H39" s="12">
        <v>0</v>
      </c>
      <c r="I39" s="10"/>
      <c r="J39" s="12">
        <f>+D39/$J$7</f>
        <v>0</v>
      </c>
      <c r="K39" s="10"/>
      <c r="L39" s="12">
        <f>+F39/$J$7</f>
        <v>0</v>
      </c>
      <c r="M39" s="10"/>
      <c r="N39" s="22">
        <f t="shared" si="1"/>
        <v>0</v>
      </c>
    </row>
    <row r="40" spans="2:14" ht="14.25" customHeight="1" x14ac:dyDescent="0.25">
      <c r="B40" s="14" t="s">
        <v>20</v>
      </c>
      <c r="D40" s="13"/>
      <c r="E40" s="10"/>
      <c r="F40" s="13"/>
      <c r="G40" s="10"/>
      <c r="H40" s="12">
        <v>0</v>
      </c>
      <c r="I40" s="10"/>
      <c r="J40" s="12">
        <f>+D40/$J$7</f>
        <v>0</v>
      </c>
      <c r="K40" s="15"/>
      <c r="L40" s="12">
        <f>+F40/$J$7</f>
        <v>0</v>
      </c>
      <c r="M40" s="15"/>
      <c r="N40" s="22">
        <f t="shared" si="1"/>
        <v>0</v>
      </c>
    </row>
    <row r="41" spans="2:14" ht="14.25" customHeight="1" x14ac:dyDescent="0.25">
      <c r="B41" s="14" t="s">
        <v>21</v>
      </c>
      <c r="D41" s="16"/>
      <c r="E41" s="10"/>
      <c r="F41" s="16"/>
      <c r="G41" s="10"/>
      <c r="H41" s="25">
        <f>+D41+F41</f>
        <v>0</v>
      </c>
      <c r="I41" s="10"/>
      <c r="J41" s="12">
        <f>+J43-SUM(J35:J40)</f>
        <v>10.345187303220882</v>
      </c>
      <c r="K41" s="15"/>
      <c r="L41" s="12">
        <f>+L43-SUM(L35:L40)</f>
        <v>102.62331851877252</v>
      </c>
      <c r="M41" s="15"/>
      <c r="N41" s="22">
        <f t="shared" si="1"/>
        <v>112.9685058219934</v>
      </c>
    </row>
    <row r="42" spans="2:14" ht="14.25" customHeight="1" x14ac:dyDescent="0.25">
      <c r="B42" s="11" t="s">
        <v>22</v>
      </c>
      <c r="D42" s="12">
        <f>SUM(D40:D41)</f>
        <v>0</v>
      </c>
      <c r="E42" s="10"/>
      <c r="F42" s="12">
        <f>SUM(F40:F41)</f>
        <v>0</v>
      </c>
      <c r="G42" s="10"/>
      <c r="H42" s="12">
        <f>SUM(H40:H41)</f>
        <v>0</v>
      </c>
      <c r="I42" s="10"/>
      <c r="J42" s="12">
        <f>SUM(J40:J41)</f>
        <v>10.345187303220882</v>
      </c>
      <c r="K42" s="10"/>
      <c r="L42" s="12">
        <f>SUM(L40:L41)</f>
        <v>102.62331851877252</v>
      </c>
      <c r="M42" s="10"/>
      <c r="N42" s="22">
        <f>SUM(N40:N41)</f>
        <v>112.9685058219934</v>
      </c>
    </row>
    <row r="43" spans="2:14" ht="14.25" customHeight="1" x14ac:dyDescent="0.25">
      <c r="B43" s="17" t="s">
        <v>23</v>
      </c>
      <c r="D43" s="18">
        <f>SUM(D35:D39,D42)</f>
        <v>2196338.4342228998</v>
      </c>
      <c r="E43" s="19"/>
      <c r="F43" s="18">
        <f>SUM(F35:F39,F42)</f>
        <v>13676572.38962651</v>
      </c>
      <c r="G43" s="19"/>
      <c r="H43" s="18">
        <f>SUM(H35:H39,H42)</f>
        <v>15872910.823849417</v>
      </c>
      <c r="I43" s="10"/>
      <c r="J43" s="20">
        <f>+D43/$J$7</f>
        <v>511.70220403961116</v>
      </c>
      <c r="K43" s="10"/>
      <c r="L43" s="20">
        <f>+F43/$J$7</f>
        <v>3186.3633247192615</v>
      </c>
      <c r="M43" s="10"/>
      <c r="N43" s="31">
        <f>SUM(N35:N39,N42)</f>
        <v>3698.0655287588729</v>
      </c>
    </row>
    <row r="44" spans="2:14" ht="14.25" customHeight="1" x14ac:dyDescent="0.25">
      <c r="B44" s="11" t="s">
        <v>24</v>
      </c>
      <c r="D44" s="21">
        <v>-251991.82500000042</v>
      </c>
      <c r="E44" s="10"/>
      <c r="F44" s="13">
        <v>0</v>
      </c>
      <c r="G44" s="10"/>
      <c r="H44" s="21">
        <v>-251991.82100000023</v>
      </c>
      <c r="I44" s="10"/>
      <c r="J44" s="12">
        <f>+D44/$J$9</f>
        <v>-57.108628895184232</v>
      </c>
      <c r="K44" s="10"/>
      <c r="L44" s="12">
        <f>+F44/$J$9</f>
        <v>0</v>
      </c>
      <c r="M44" s="10"/>
      <c r="N44" s="22">
        <f>+J44+L44</f>
        <v>-57.108628895184232</v>
      </c>
    </row>
    <row r="45" spans="2:14" ht="14.25" customHeight="1" x14ac:dyDescent="0.25">
      <c r="B45" s="11" t="s">
        <v>34</v>
      </c>
      <c r="D45" s="24">
        <v>-240060.80699999986</v>
      </c>
      <c r="E45" s="10"/>
      <c r="F45" s="13"/>
      <c r="G45" s="10"/>
      <c r="H45" s="53">
        <f>D45</f>
        <v>-240060.80699999986</v>
      </c>
      <c r="I45" s="10"/>
      <c r="J45" s="12">
        <f>+D45/$J$7</f>
        <v>-55.929287641360375</v>
      </c>
      <c r="K45" s="10"/>
      <c r="L45" s="12">
        <f>+F45/$J$7</f>
        <v>0</v>
      </c>
      <c r="M45" s="10"/>
      <c r="N45" s="22">
        <f>+J45+L45</f>
        <v>-55.929287641360375</v>
      </c>
    </row>
    <row r="46" spans="2:14" ht="14.25" customHeight="1" x14ac:dyDescent="0.25">
      <c r="B46" s="11" t="s">
        <v>26</v>
      </c>
      <c r="D46" s="21">
        <v>46844.008000000293</v>
      </c>
      <c r="E46" s="10"/>
      <c r="F46" s="13"/>
      <c r="G46" s="10"/>
      <c r="H46" s="22">
        <f>+D46+F46</f>
        <v>46844.008000000293</v>
      </c>
      <c r="I46" s="10"/>
      <c r="J46" s="12">
        <f>+D46/$J$7</f>
        <v>10.913701534404176</v>
      </c>
      <c r="K46" s="10"/>
      <c r="L46" s="12">
        <f>+F46/$J$7</f>
        <v>0</v>
      </c>
      <c r="M46" s="10"/>
      <c r="N46" s="22">
        <f>+J46+L46</f>
        <v>10.913701534404176</v>
      </c>
    </row>
    <row r="47" spans="2:14" ht="14.25" customHeight="1" x14ac:dyDescent="0.25">
      <c r="B47" s="14" t="s">
        <v>20</v>
      </c>
      <c r="D47" s="13"/>
      <c r="E47" s="10"/>
      <c r="F47" s="13"/>
      <c r="G47" s="10"/>
      <c r="H47" s="12">
        <f>+D47+F47</f>
        <v>0</v>
      </c>
      <c r="I47" s="10"/>
      <c r="J47" s="12">
        <f>+D47/$J$7</f>
        <v>0</v>
      </c>
      <c r="K47" s="15"/>
      <c r="L47" s="12">
        <f>+F47/$J$7</f>
        <v>0</v>
      </c>
      <c r="M47" s="15"/>
      <c r="N47" s="22">
        <f>+J47+L47</f>
        <v>0</v>
      </c>
    </row>
    <row r="48" spans="2:14" ht="14.25" customHeight="1" x14ac:dyDescent="0.25">
      <c r="B48" s="14" t="s">
        <v>21</v>
      </c>
      <c r="D48" s="16"/>
      <c r="E48" s="10"/>
      <c r="F48" s="16"/>
      <c r="G48" s="10"/>
      <c r="H48" s="25">
        <f>+D48+F48</f>
        <v>0</v>
      </c>
      <c r="I48" s="10"/>
      <c r="J48" s="12">
        <f>+J50-SUM(J44:J47)</f>
        <v>-1.6003433848946997</v>
      </c>
      <c r="K48" s="15"/>
      <c r="L48" s="12">
        <f>+L50-SUM(L44:L47)</f>
        <v>0</v>
      </c>
      <c r="M48" s="15"/>
      <c r="N48" s="22">
        <f>+J48+L48</f>
        <v>-1.6003433848946997</v>
      </c>
    </row>
    <row r="49" spans="2:14" ht="14.25" customHeight="1" x14ac:dyDescent="0.25">
      <c r="B49" s="11" t="s">
        <v>22</v>
      </c>
      <c r="D49" s="12">
        <f>SUM(D47:D48)</f>
        <v>0</v>
      </c>
      <c r="E49" s="10"/>
      <c r="F49" s="12">
        <f>SUM(F47:F48)</f>
        <v>0</v>
      </c>
      <c r="G49" s="10"/>
      <c r="H49" s="12">
        <f>SUM(H47:H48)</f>
        <v>0</v>
      </c>
      <c r="I49" s="10"/>
      <c r="J49" s="12">
        <f>SUM(J47:J48)</f>
        <v>-1.6003433848946997</v>
      </c>
      <c r="K49" s="10"/>
      <c r="L49" s="12">
        <f>SUM(L47:L48)</f>
        <v>0</v>
      </c>
      <c r="M49" s="10"/>
      <c r="N49" s="22">
        <f>SUM(N47:N48)</f>
        <v>-1.6003433848946997</v>
      </c>
    </row>
    <row r="50" spans="2:14" ht="14.25" customHeight="1" x14ac:dyDescent="0.25">
      <c r="B50" s="26" t="s">
        <v>27</v>
      </c>
      <c r="D50" s="18">
        <f>SUM(D44:D46,D49)</f>
        <v>-445208.62399999995</v>
      </c>
      <c r="E50" s="10"/>
      <c r="F50" s="20">
        <f>SUM(F44:F46,F49)</f>
        <v>0</v>
      </c>
      <c r="G50" s="10"/>
      <c r="H50" s="31">
        <f>SUM(H44:H46,H49)</f>
        <v>-445208.61999999976</v>
      </c>
      <c r="I50" s="10"/>
      <c r="J50" s="34">
        <f>+D50/$J$7</f>
        <v>-103.72455838703513</v>
      </c>
      <c r="K50" s="10"/>
      <c r="L50" s="20">
        <f>+F50/$J$7</f>
        <v>0</v>
      </c>
      <c r="M50" s="10"/>
      <c r="N50" s="50">
        <f>SUM(N44:N46,N49)</f>
        <v>-103.72455838703513</v>
      </c>
    </row>
    <row r="51" spans="2:14" ht="14.25" customHeight="1" x14ac:dyDescent="0.25">
      <c r="B51" s="27" t="s">
        <v>28</v>
      </c>
      <c r="D51" s="46">
        <f>+D43+D50</f>
        <v>1751129.8102229</v>
      </c>
      <c r="E51" s="19"/>
      <c r="F51" s="46">
        <f>+F43+F50</f>
        <v>13676572.38962651</v>
      </c>
      <c r="G51" s="19"/>
      <c r="H51" s="46">
        <f>+H43+H50</f>
        <v>15427702.203849418</v>
      </c>
      <c r="I51" s="10"/>
      <c r="J51" s="51">
        <f>+J43+J50</f>
        <v>407.97764565257603</v>
      </c>
      <c r="K51" s="10"/>
      <c r="L51" s="51">
        <f>+L43+L50</f>
        <v>3186.3633247192615</v>
      </c>
      <c r="M51" s="10"/>
      <c r="N51" s="52">
        <f>+N43+N50</f>
        <v>3594.340970371838</v>
      </c>
    </row>
    <row r="52" spans="2:14" x14ac:dyDescent="0.25">
      <c r="D52" s="30">
        <f>+D30-D51</f>
        <v>1.3200999237596989E-3</v>
      </c>
      <c r="E52" s="30">
        <f t="shared" ref="E52:I52" si="2">+E30-E51</f>
        <v>0</v>
      </c>
      <c r="F52" s="30">
        <f t="shared" si="2"/>
        <v>-1.4169516041874886E-2</v>
      </c>
      <c r="G52" s="30">
        <f t="shared" si="2"/>
        <v>0</v>
      </c>
      <c r="H52" s="61">
        <f t="shared" si="2"/>
        <v>-6.8494211882352829E-3</v>
      </c>
      <c r="I52" s="30">
        <f t="shared" si="2"/>
        <v>0</v>
      </c>
    </row>
    <row r="63364" spans="2:2" x14ac:dyDescent="0.25">
      <c r="B63364" s="1" t="s">
        <v>35</v>
      </c>
    </row>
    <row r="63365" spans="2:2" x14ac:dyDescent="0.25">
      <c r="B63365" s="1" t="s">
        <v>36</v>
      </c>
    </row>
    <row r="63366" spans="2:2" x14ac:dyDescent="0.25">
      <c r="B63366" s="1" t="s">
        <v>37</v>
      </c>
    </row>
    <row r="63367" spans="2:2" x14ac:dyDescent="0.25">
      <c r="B63367" s="1" t="s">
        <v>38</v>
      </c>
    </row>
    <row r="63368" spans="2:2" x14ac:dyDescent="0.25">
      <c r="B63368" s="1" t="s">
        <v>39</v>
      </c>
    </row>
    <row r="63369" spans="2:2" x14ac:dyDescent="0.25">
      <c r="B63369" s="1" t="s">
        <v>6</v>
      </c>
    </row>
    <row r="63370" spans="2:2" x14ac:dyDescent="0.25">
      <c r="B63370" s="1" t="s">
        <v>3</v>
      </c>
    </row>
    <row r="63371" spans="2:2" x14ac:dyDescent="0.25">
      <c r="B63371" s="1" t="s">
        <v>40</v>
      </c>
    </row>
    <row r="63372" spans="2:2" x14ac:dyDescent="0.25">
      <c r="B63372" s="1" t="s">
        <v>41</v>
      </c>
    </row>
    <row r="63373" spans="2:2" x14ac:dyDescent="0.25">
      <c r="B63373" s="1" t="s">
        <v>42</v>
      </c>
    </row>
    <row r="63374" spans="2:2" x14ac:dyDescent="0.25">
      <c r="B63374" s="1" t="s">
        <v>43</v>
      </c>
    </row>
    <row r="63375" spans="2:2" x14ac:dyDescent="0.25">
      <c r="B63375" s="1" t="s">
        <v>44</v>
      </c>
    </row>
  </sheetData>
  <mergeCells count="19">
    <mergeCell ref="B33:B34"/>
    <mergeCell ref="D33:H33"/>
    <mergeCell ref="J33:N33"/>
    <mergeCell ref="F10:G10"/>
    <mergeCell ref="H10:I10"/>
    <mergeCell ref="J10:K10"/>
    <mergeCell ref="B12:B13"/>
    <mergeCell ref="D12:H12"/>
    <mergeCell ref="J12:N12"/>
    <mergeCell ref="B2:N2"/>
    <mergeCell ref="B4:H4"/>
    <mergeCell ref="D7:E10"/>
    <mergeCell ref="F7:G9"/>
    <mergeCell ref="H7:I7"/>
    <mergeCell ref="J7:K7"/>
    <mergeCell ref="H8:I8"/>
    <mergeCell ref="J8:K8"/>
    <mergeCell ref="H9:I9"/>
    <mergeCell ref="J9:K9"/>
  </mergeCells>
  <dataValidations disablePrompts="1" count="2">
    <dataValidation type="list" allowBlank="1" showInputMessage="1" showErrorMessage="1" sqref="B5" xr:uid="{948A1DF1-8B36-4222-A169-4FB7D24CE213}">
      <formula1>$B$63359:$B$64058</formula1>
    </dataValidation>
    <dataValidation type="list" allowBlank="1" showInputMessage="1" showErrorMessage="1" sqref="B64281 B981785 B916249 B850713 B785177 B719641 B654105 B588569 B523033 B457497 B391961 B326425 B260889 B195353 B129817" xr:uid="{9C0B34AF-31C6-4BAA-B297-1EFD012D373D}">
      <formula1>$B$63349:$B$64048</formula1>
    </dataValidation>
  </dataValidations>
  <pageMargins left="0.7" right="0.7" top="0.75" bottom="0.75" header="0.3" footer="0.3"/>
  <pageSetup scale="63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C7BD-F3DC-4B41-A25F-3AC3587E2FCB}">
  <dimension ref="A1:AM17"/>
  <sheetViews>
    <sheetView zoomScale="87" zoomScaleNormal="87" workbookViewId="0">
      <pane xSplit="3" ySplit="7" topLeftCell="N8" activePane="bottomRight" state="frozen"/>
      <selection pane="topRight" activeCell="D1" sqref="D1"/>
      <selection pane="bottomLeft" activeCell="A8" sqref="A8"/>
      <selection pane="bottomRight" activeCell="U15" sqref="U15"/>
    </sheetView>
  </sheetViews>
  <sheetFormatPr baseColWidth="10" defaultColWidth="11.453125" defaultRowHeight="13" x14ac:dyDescent="0.3"/>
  <cols>
    <col min="1" max="1" width="9.7265625" style="57" bestFit="1" customWidth="1"/>
    <col min="2" max="2" width="37.36328125" style="57" bestFit="1" customWidth="1"/>
    <col min="3" max="3" width="15.6328125" style="56" bestFit="1" customWidth="1"/>
    <col min="4" max="13" width="15.6328125" style="67" bestFit="1" customWidth="1"/>
    <col min="14" max="19" width="15.6328125" style="102" bestFit="1" customWidth="1"/>
    <col min="20" max="20" width="11.453125" style="102"/>
    <col min="21" max="25" width="11" style="102" bestFit="1" customWidth="1"/>
    <col min="26" max="26" width="12.08984375" style="102" bestFit="1" customWidth="1"/>
    <col min="27" max="27" width="12.81640625" style="102" bestFit="1" customWidth="1"/>
    <col min="28" max="28" width="11" style="102" bestFit="1" customWidth="1"/>
    <col min="29" max="29" width="13.1796875" style="102" bestFit="1" customWidth="1"/>
    <col min="30" max="37" width="11" style="102" bestFit="1" customWidth="1"/>
    <col min="38" max="38" width="12.08984375" style="81" bestFit="1" customWidth="1"/>
    <col min="39" max="16384" width="11.453125" style="81"/>
  </cols>
  <sheetData>
    <row r="1" spans="1:39" s="79" customFormat="1" ht="14.5" x14ac:dyDescent="0.35">
      <c r="A1" s="103"/>
      <c r="B1" s="103"/>
      <c r="C1" s="103" t="s">
        <v>45</v>
      </c>
      <c r="D1" s="103" t="s">
        <v>45</v>
      </c>
      <c r="E1" s="103" t="s">
        <v>45</v>
      </c>
      <c r="F1" s="103" t="s">
        <v>45</v>
      </c>
      <c r="G1" s="103" t="s">
        <v>45</v>
      </c>
      <c r="H1" s="103" t="s">
        <v>45</v>
      </c>
      <c r="I1" s="103" t="s">
        <v>45</v>
      </c>
      <c r="J1" s="103" t="s">
        <v>45</v>
      </c>
      <c r="K1" s="103" t="s">
        <v>45</v>
      </c>
      <c r="L1" s="103" t="s">
        <v>45</v>
      </c>
      <c r="M1" s="103" t="s">
        <v>45</v>
      </c>
      <c r="N1" s="103" t="s">
        <v>45</v>
      </c>
      <c r="O1" s="103" t="s">
        <v>45</v>
      </c>
      <c r="P1" s="103" t="s">
        <v>45</v>
      </c>
      <c r="Q1" s="103" t="s">
        <v>45</v>
      </c>
      <c r="R1" s="103" t="s">
        <v>45</v>
      </c>
      <c r="S1" s="103" t="s">
        <v>45</v>
      </c>
      <c r="T1" s="103"/>
      <c r="U1" s="103" t="s">
        <v>45</v>
      </c>
      <c r="V1" s="103" t="s">
        <v>45</v>
      </c>
      <c r="W1" s="103" t="s">
        <v>45</v>
      </c>
      <c r="X1" s="103" t="s">
        <v>45</v>
      </c>
      <c r="Y1" s="103" t="s">
        <v>45</v>
      </c>
      <c r="Z1" s="103" t="s">
        <v>45</v>
      </c>
      <c r="AA1" s="103" t="s">
        <v>45</v>
      </c>
      <c r="AB1" s="103" t="s">
        <v>45</v>
      </c>
      <c r="AC1" s="103" t="s">
        <v>45</v>
      </c>
      <c r="AD1" s="103" t="s">
        <v>45</v>
      </c>
      <c r="AE1" s="103" t="s">
        <v>45</v>
      </c>
      <c r="AF1" s="103" t="s">
        <v>45</v>
      </c>
      <c r="AG1" s="103" t="s">
        <v>45</v>
      </c>
      <c r="AH1" s="103" t="s">
        <v>45</v>
      </c>
      <c r="AI1" s="103" t="s">
        <v>45</v>
      </c>
      <c r="AJ1" s="103" t="s">
        <v>45</v>
      </c>
      <c r="AK1" s="103" t="s">
        <v>45</v>
      </c>
      <c r="AL1" s="103" t="s">
        <v>45</v>
      </c>
      <c r="AM1" s="103" t="s">
        <v>45</v>
      </c>
    </row>
    <row r="2" spans="1:39" s="79" customFormat="1" ht="14.5" x14ac:dyDescent="0.35">
      <c r="A2" s="103"/>
      <c r="B2" s="103"/>
      <c r="C2" s="104" t="s">
        <v>105</v>
      </c>
      <c r="D2" s="104" t="s">
        <v>105</v>
      </c>
      <c r="E2" s="104" t="s">
        <v>105</v>
      </c>
      <c r="F2" s="104" t="s">
        <v>105</v>
      </c>
      <c r="G2" s="104" t="s">
        <v>105</v>
      </c>
      <c r="H2" s="104" t="s">
        <v>96</v>
      </c>
      <c r="I2" s="104" t="s">
        <v>96</v>
      </c>
      <c r="J2" s="104" t="s">
        <v>96</v>
      </c>
      <c r="K2" s="104" t="s">
        <v>96</v>
      </c>
      <c r="L2" s="104" t="s">
        <v>96</v>
      </c>
      <c r="M2" s="104" t="s">
        <v>96</v>
      </c>
      <c r="N2" s="104" t="s">
        <v>96</v>
      </c>
      <c r="O2" s="104" t="s">
        <v>96</v>
      </c>
      <c r="P2" s="104" t="s">
        <v>96</v>
      </c>
      <c r="Q2" s="104" t="s">
        <v>96</v>
      </c>
      <c r="R2" s="104" t="s">
        <v>96</v>
      </c>
      <c r="S2" s="104" t="s">
        <v>96</v>
      </c>
      <c r="T2" s="103"/>
      <c r="U2" s="104" t="s">
        <v>105</v>
      </c>
      <c r="V2" s="104" t="s">
        <v>105</v>
      </c>
      <c r="W2" s="104" t="s">
        <v>105</v>
      </c>
      <c r="X2" s="104" t="s">
        <v>105</v>
      </c>
      <c r="Y2" s="104" t="s">
        <v>105</v>
      </c>
      <c r="Z2" s="104" t="s">
        <v>105</v>
      </c>
      <c r="AA2" s="104" t="s">
        <v>96</v>
      </c>
      <c r="AB2" s="104" t="s">
        <v>96</v>
      </c>
      <c r="AC2" s="104" t="s">
        <v>96</v>
      </c>
      <c r="AD2" s="104" t="s">
        <v>96</v>
      </c>
      <c r="AE2" s="104" t="s">
        <v>96</v>
      </c>
      <c r="AF2" s="104" t="s">
        <v>96</v>
      </c>
      <c r="AG2" s="104" t="s">
        <v>96</v>
      </c>
      <c r="AH2" s="104" t="s">
        <v>96</v>
      </c>
      <c r="AI2" s="104" t="s">
        <v>96</v>
      </c>
      <c r="AJ2" s="104" t="s">
        <v>96</v>
      </c>
      <c r="AK2" s="104" t="s">
        <v>96</v>
      </c>
      <c r="AL2" s="104" t="s">
        <v>96</v>
      </c>
      <c r="AM2" s="104" t="s">
        <v>113</v>
      </c>
    </row>
    <row r="3" spans="1:39" s="79" customFormat="1" ht="14.5" x14ac:dyDescent="0.3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</row>
    <row r="4" spans="1:39" s="79" customFormat="1" ht="14.5" x14ac:dyDescent="0.35">
      <c r="A4" s="103"/>
      <c r="B4" s="103"/>
      <c r="C4" s="103" t="s">
        <v>46</v>
      </c>
      <c r="D4" s="103" t="s">
        <v>46</v>
      </c>
      <c r="E4" s="103" t="s">
        <v>46</v>
      </c>
      <c r="F4" s="103" t="s">
        <v>46</v>
      </c>
      <c r="G4" s="103" t="s">
        <v>46</v>
      </c>
      <c r="H4" s="103" t="s">
        <v>46</v>
      </c>
      <c r="I4" s="103" t="s">
        <v>46</v>
      </c>
      <c r="J4" s="103" t="s">
        <v>46</v>
      </c>
      <c r="K4" s="103" t="s">
        <v>46</v>
      </c>
      <c r="L4" s="103" t="s">
        <v>46</v>
      </c>
      <c r="M4" s="103" t="s">
        <v>46</v>
      </c>
      <c r="N4" s="103" t="s">
        <v>46</v>
      </c>
      <c r="O4" s="103" t="s">
        <v>46</v>
      </c>
      <c r="P4" s="103" t="s">
        <v>46</v>
      </c>
      <c r="Q4" s="103" t="s">
        <v>46</v>
      </c>
      <c r="R4" s="103" t="s">
        <v>46</v>
      </c>
      <c r="S4" s="103" t="s">
        <v>46</v>
      </c>
      <c r="T4" s="103"/>
      <c r="U4" s="103" t="s">
        <v>46</v>
      </c>
      <c r="V4" s="103" t="s">
        <v>46</v>
      </c>
      <c r="W4" s="103" t="s">
        <v>46</v>
      </c>
      <c r="X4" s="103" t="s">
        <v>46</v>
      </c>
      <c r="Y4" s="103" t="s">
        <v>46</v>
      </c>
      <c r="Z4" s="103" t="s">
        <v>46</v>
      </c>
      <c r="AA4" s="103" t="s">
        <v>46</v>
      </c>
      <c r="AB4" s="103" t="s">
        <v>46</v>
      </c>
      <c r="AC4" s="103" t="s">
        <v>46</v>
      </c>
      <c r="AD4" s="103" t="s">
        <v>46</v>
      </c>
      <c r="AE4" s="103" t="s">
        <v>46</v>
      </c>
      <c r="AF4" s="103" t="s">
        <v>46</v>
      </c>
      <c r="AG4" s="103" t="s">
        <v>46</v>
      </c>
      <c r="AH4" s="103" t="s">
        <v>46</v>
      </c>
      <c r="AI4" s="103" t="s">
        <v>46</v>
      </c>
      <c r="AJ4" s="103" t="s">
        <v>46</v>
      </c>
      <c r="AK4" s="103" t="s">
        <v>46</v>
      </c>
      <c r="AL4" s="103" t="s">
        <v>46</v>
      </c>
      <c r="AM4" s="103" t="s">
        <v>46</v>
      </c>
    </row>
    <row r="5" spans="1:39" s="79" customFormat="1" ht="14.5" x14ac:dyDescent="0.35">
      <c r="A5" s="103"/>
      <c r="B5" s="103"/>
      <c r="C5" s="103" t="s">
        <v>47</v>
      </c>
      <c r="D5" s="103" t="s">
        <v>47</v>
      </c>
      <c r="E5" s="103" t="s">
        <v>47</v>
      </c>
      <c r="F5" s="103" t="s">
        <v>47</v>
      </c>
      <c r="G5" s="103" t="s">
        <v>47</v>
      </c>
      <c r="H5" s="103" t="s">
        <v>47</v>
      </c>
      <c r="I5" s="103" t="s">
        <v>47</v>
      </c>
      <c r="J5" s="103" t="s">
        <v>47</v>
      </c>
      <c r="K5" s="103" t="s">
        <v>47</v>
      </c>
      <c r="L5" s="103" t="s">
        <v>47</v>
      </c>
      <c r="M5" s="103" t="s">
        <v>47</v>
      </c>
      <c r="N5" s="103" t="s">
        <v>47</v>
      </c>
      <c r="O5" s="103" t="s">
        <v>47</v>
      </c>
      <c r="P5" s="103" t="s">
        <v>47</v>
      </c>
      <c r="Q5" s="103" t="s">
        <v>47</v>
      </c>
      <c r="R5" s="103" t="s">
        <v>47</v>
      </c>
      <c r="S5" s="103" t="s">
        <v>47</v>
      </c>
      <c r="T5" s="103"/>
      <c r="U5" s="103" t="s">
        <v>48</v>
      </c>
      <c r="V5" s="103" t="s">
        <v>48</v>
      </c>
      <c r="W5" s="103" t="s">
        <v>48</v>
      </c>
      <c r="X5" s="103" t="s">
        <v>48</v>
      </c>
      <c r="Y5" s="103" t="s">
        <v>48</v>
      </c>
      <c r="Z5" s="103" t="s">
        <v>48</v>
      </c>
      <c r="AA5" s="103" t="s">
        <v>48</v>
      </c>
      <c r="AB5" s="103" t="s">
        <v>48</v>
      </c>
      <c r="AC5" s="103" t="s">
        <v>48</v>
      </c>
      <c r="AD5" s="103" t="s">
        <v>48</v>
      </c>
      <c r="AE5" s="103" t="s">
        <v>48</v>
      </c>
      <c r="AF5" s="103" t="s">
        <v>48</v>
      </c>
      <c r="AG5" s="103" t="s">
        <v>48</v>
      </c>
      <c r="AH5" s="103" t="s">
        <v>48</v>
      </c>
      <c r="AI5" s="103" t="s">
        <v>48</v>
      </c>
      <c r="AJ5" s="103" t="s">
        <v>48</v>
      </c>
      <c r="AK5" s="103" t="s">
        <v>48</v>
      </c>
      <c r="AL5" s="103" t="s">
        <v>48</v>
      </c>
      <c r="AM5" s="103" t="s">
        <v>48</v>
      </c>
    </row>
    <row r="6" spans="1:39" s="79" customFormat="1" ht="14.5" x14ac:dyDescent="0.35">
      <c r="A6" s="103"/>
      <c r="B6" s="103"/>
      <c r="C6" s="103" t="s">
        <v>106</v>
      </c>
      <c r="D6" s="103" t="s">
        <v>104</v>
      </c>
      <c r="E6" s="103" t="s">
        <v>49</v>
      </c>
      <c r="F6" s="103" t="s">
        <v>50</v>
      </c>
      <c r="G6" s="103" t="s">
        <v>51</v>
      </c>
      <c r="H6" s="103" t="s">
        <v>95</v>
      </c>
      <c r="I6" s="103" t="s">
        <v>107</v>
      </c>
      <c r="J6" s="103" t="s">
        <v>108</v>
      </c>
      <c r="K6" s="103" t="s">
        <v>109</v>
      </c>
      <c r="L6" s="103" t="s">
        <v>110</v>
      </c>
      <c r="M6" s="103" t="s">
        <v>111</v>
      </c>
      <c r="N6" s="103" t="s">
        <v>112</v>
      </c>
      <c r="O6" s="103" t="s">
        <v>106</v>
      </c>
      <c r="P6" s="103" t="s">
        <v>104</v>
      </c>
      <c r="Q6" s="103" t="s">
        <v>49</v>
      </c>
      <c r="R6" s="103" t="s">
        <v>50</v>
      </c>
      <c r="S6" s="103" t="s">
        <v>51</v>
      </c>
      <c r="T6" s="103"/>
      <c r="U6" s="103" t="s">
        <v>106</v>
      </c>
      <c r="V6" s="103" t="s">
        <v>104</v>
      </c>
      <c r="W6" s="103" t="s">
        <v>104</v>
      </c>
      <c r="X6" s="103" t="s">
        <v>49</v>
      </c>
      <c r="Y6" s="103" t="s">
        <v>50</v>
      </c>
      <c r="Z6" s="103" t="s">
        <v>51</v>
      </c>
      <c r="AA6" s="103" t="s">
        <v>95</v>
      </c>
      <c r="AB6" s="103" t="s">
        <v>107</v>
      </c>
      <c r="AC6" s="103" t="s">
        <v>108</v>
      </c>
      <c r="AD6" s="103" t="s">
        <v>109</v>
      </c>
      <c r="AE6" s="103" t="s">
        <v>110</v>
      </c>
      <c r="AF6" s="103" t="s">
        <v>111</v>
      </c>
      <c r="AG6" s="103" t="s">
        <v>112</v>
      </c>
      <c r="AH6" s="103" t="s">
        <v>106</v>
      </c>
      <c r="AI6" s="103" t="s">
        <v>104</v>
      </c>
      <c r="AJ6" s="103" t="s">
        <v>49</v>
      </c>
      <c r="AK6" s="103" t="s">
        <v>50</v>
      </c>
      <c r="AL6" s="103" t="s">
        <v>51</v>
      </c>
      <c r="AM6" s="103" t="s">
        <v>95</v>
      </c>
    </row>
    <row r="7" spans="1:39" s="79" customFormat="1" ht="14.5" x14ac:dyDescent="0.35">
      <c r="A7" s="103"/>
      <c r="B7" s="103"/>
      <c r="C7" s="103" t="s">
        <v>52</v>
      </c>
      <c r="D7" s="103" t="s">
        <v>52</v>
      </c>
      <c r="E7" s="103" t="s">
        <v>52</v>
      </c>
      <c r="F7" s="103" t="s">
        <v>52</v>
      </c>
      <c r="G7" s="103" t="s">
        <v>52</v>
      </c>
      <c r="H7" s="103" t="s">
        <v>52</v>
      </c>
      <c r="I7" s="103" t="s">
        <v>52</v>
      </c>
      <c r="J7" s="103" t="s">
        <v>52</v>
      </c>
      <c r="K7" s="103" t="s">
        <v>52</v>
      </c>
      <c r="L7" s="103" t="s">
        <v>52</v>
      </c>
      <c r="M7" s="103" t="s">
        <v>52</v>
      </c>
      <c r="N7" s="103" t="s">
        <v>52</v>
      </c>
      <c r="O7" s="103" t="s">
        <v>52</v>
      </c>
      <c r="P7" s="103" t="s">
        <v>52</v>
      </c>
      <c r="Q7" s="103" t="s">
        <v>52</v>
      </c>
      <c r="R7" s="103" t="s">
        <v>52</v>
      </c>
      <c r="S7" s="103" t="s">
        <v>52</v>
      </c>
      <c r="T7" s="103"/>
      <c r="U7" s="103" t="s">
        <v>52</v>
      </c>
      <c r="V7" s="103" t="s">
        <v>52</v>
      </c>
      <c r="W7" s="103" t="s">
        <v>52</v>
      </c>
      <c r="X7" s="103" t="s">
        <v>52</v>
      </c>
      <c r="Y7" s="103" t="s">
        <v>52</v>
      </c>
      <c r="Z7" s="103" t="s">
        <v>52</v>
      </c>
      <c r="AA7" s="103" t="s">
        <v>52</v>
      </c>
      <c r="AB7" s="103" t="s">
        <v>52</v>
      </c>
      <c r="AC7" s="103" t="s">
        <v>52</v>
      </c>
      <c r="AD7" s="103" t="s">
        <v>52</v>
      </c>
      <c r="AE7" s="103" t="s">
        <v>52</v>
      </c>
      <c r="AF7" s="103" t="s">
        <v>52</v>
      </c>
      <c r="AG7" s="103" t="s">
        <v>52</v>
      </c>
      <c r="AH7" s="103" t="s">
        <v>52</v>
      </c>
      <c r="AI7" s="103" t="s">
        <v>52</v>
      </c>
      <c r="AJ7" s="103" t="s">
        <v>52</v>
      </c>
      <c r="AK7" s="103" t="s">
        <v>52</v>
      </c>
      <c r="AL7" s="103" t="s">
        <v>52</v>
      </c>
      <c r="AM7" s="103" t="s">
        <v>52</v>
      </c>
    </row>
    <row r="8" spans="1:39" s="80" customFormat="1" ht="14.5" x14ac:dyDescent="0.35">
      <c r="A8" s="100" t="s">
        <v>97</v>
      </c>
      <c r="B8" s="99" t="s">
        <v>53</v>
      </c>
      <c r="C8" s="55">
        <v>57927.246000000057</v>
      </c>
      <c r="D8" s="55">
        <v>49564.628000000055</v>
      </c>
      <c r="E8" s="55">
        <v>64197.01000000006</v>
      </c>
      <c r="F8" s="55">
        <v>79518.304000000062</v>
      </c>
      <c r="G8" s="55">
        <v>36448.759000000049</v>
      </c>
      <c r="H8" s="55">
        <v>134775.10700000011</v>
      </c>
      <c r="I8" s="55">
        <v>88999.286000000095</v>
      </c>
      <c r="J8" s="55">
        <v>80697.710000000094</v>
      </c>
      <c r="K8" s="55">
        <v>87934.692000000097</v>
      </c>
      <c r="L8" s="55">
        <v>73131.220000000088</v>
      </c>
      <c r="M8" s="55">
        <v>120065.31600000008</v>
      </c>
      <c r="N8" s="55">
        <v>109019.99900000007</v>
      </c>
      <c r="O8" s="55">
        <v>135565.21900000007</v>
      </c>
      <c r="P8" s="55">
        <v>141915.53900000008</v>
      </c>
      <c r="Q8" s="55">
        <v>383468.05300000007</v>
      </c>
      <c r="R8" s="55">
        <v>152290.97600000002</v>
      </c>
      <c r="S8" s="55">
        <v>144628.73100000003</v>
      </c>
      <c r="T8" s="55"/>
      <c r="U8" s="55">
        <v>13.497069999999994</v>
      </c>
      <c r="V8" s="55">
        <v>11.667519999999993</v>
      </c>
      <c r="W8" s="55">
        <v>11.667519999999993</v>
      </c>
      <c r="X8" s="55">
        <v>15.182599999999992</v>
      </c>
      <c r="Y8" s="55">
        <v>17.883649999999992</v>
      </c>
      <c r="Z8" s="55">
        <v>8.3467599999999926</v>
      </c>
      <c r="AA8" s="55">
        <v>30.540040000000012</v>
      </c>
      <c r="AB8" s="55">
        <v>20.478780000000011</v>
      </c>
      <c r="AC8" s="55">
        <v>18.068210000000011</v>
      </c>
      <c r="AD8" s="55">
        <v>19.178570000000011</v>
      </c>
      <c r="AE8" s="55">
        <v>15.547710000000011</v>
      </c>
      <c r="AF8" s="55">
        <v>25.093650000000011</v>
      </c>
      <c r="AG8" s="55">
        <v>22.817880000000009</v>
      </c>
      <c r="AH8" s="55">
        <v>28.780490000000011</v>
      </c>
      <c r="AI8" s="55">
        <v>29.731300000000012</v>
      </c>
      <c r="AJ8" s="55">
        <v>84.669750000000022</v>
      </c>
      <c r="AK8" s="55">
        <v>35.544700000000006</v>
      </c>
      <c r="AL8" s="55">
        <v>33.365850000000009</v>
      </c>
      <c r="AM8" s="55">
        <v>27.311149999999952</v>
      </c>
    </row>
    <row r="9" spans="1:39" ht="14.5" x14ac:dyDescent="0.35">
      <c r="A9" s="100" t="s">
        <v>98</v>
      </c>
      <c r="B9" s="99" t="s">
        <v>54</v>
      </c>
      <c r="C9" s="55">
        <v>13254161.494999997</v>
      </c>
      <c r="D9" s="55">
        <v>10963986.185999999</v>
      </c>
      <c r="E9" s="55">
        <v>10368228.172999999</v>
      </c>
      <c r="F9" s="55">
        <v>11497994.933999998</v>
      </c>
      <c r="G9" s="55">
        <v>13463323.142999999</v>
      </c>
      <c r="H9" s="55">
        <v>13257225.522000004</v>
      </c>
      <c r="I9" s="55">
        <v>10942966.093000002</v>
      </c>
      <c r="J9" s="55">
        <v>10746381.629000003</v>
      </c>
      <c r="K9" s="55">
        <v>10710375.371000003</v>
      </c>
      <c r="L9" s="55">
        <v>10851017.714000003</v>
      </c>
      <c r="M9" s="55">
        <v>10093815.426000003</v>
      </c>
      <c r="N9" s="55">
        <v>11767166.114000002</v>
      </c>
      <c r="O9" s="55">
        <v>11339465.071000002</v>
      </c>
      <c r="P9" s="55">
        <v>10068075.695000002</v>
      </c>
      <c r="Q9" s="55">
        <v>9045581.6410000026</v>
      </c>
      <c r="R9" s="55">
        <v>12423160.691000002</v>
      </c>
      <c r="S9" s="55">
        <v>13484167.965000002</v>
      </c>
      <c r="T9" s="55"/>
      <c r="U9" s="55">
        <v>3088.2196099999992</v>
      </c>
      <c r="V9" s="55">
        <v>2580.922329999999</v>
      </c>
      <c r="W9" s="55">
        <v>2580.922329999999</v>
      </c>
      <c r="X9" s="55">
        <v>2452.085939999999</v>
      </c>
      <c r="Y9" s="55">
        <v>2585.8990799999992</v>
      </c>
      <c r="Z9" s="55">
        <v>3083.1010099999994</v>
      </c>
      <c r="AA9" s="55">
        <v>3004.0873000000006</v>
      </c>
      <c r="AB9" s="55">
        <v>2517.9764700000005</v>
      </c>
      <c r="AC9" s="55">
        <v>2406.1148300000004</v>
      </c>
      <c r="AD9" s="55">
        <v>2335.9328500000006</v>
      </c>
      <c r="AE9" s="55">
        <v>2306.9263800000008</v>
      </c>
      <c r="AF9" s="55">
        <v>2109.6074200000007</v>
      </c>
      <c r="AG9" s="55">
        <v>2462.8678800000007</v>
      </c>
      <c r="AH9" s="55">
        <v>2407.3684500000008</v>
      </c>
      <c r="AI9" s="55">
        <v>2109.261860000001</v>
      </c>
      <c r="AJ9" s="55">
        <v>1997.2644400000008</v>
      </c>
      <c r="AK9" s="55">
        <v>2899.5656900000008</v>
      </c>
      <c r="AL9" s="55">
        <v>3110.7975300000007</v>
      </c>
      <c r="AM9" s="55">
        <v>2603.1554000000006</v>
      </c>
    </row>
    <row r="10" spans="1:39" ht="14.5" x14ac:dyDescent="0.35">
      <c r="A10" s="100" t="s">
        <v>99</v>
      </c>
      <c r="B10" s="99" t="s">
        <v>55</v>
      </c>
      <c r="C10" s="55">
        <v>211669.78000000003</v>
      </c>
      <c r="D10" s="55">
        <v>-68248.767999999996</v>
      </c>
      <c r="E10" s="55">
        <v>-68248.767999999996</v>
      </c>
      <c r="F10" s="55">
        <v>72922.805999999997</v>
      </c>
      <c r="G10" s="55">
        <v>0</v>
      </c>
      <c r="H10" s="55">
        <v>-2.9103830456733704E-11</v>
      </c>
      <c r="I10" s="55">
        <v>-141171.45400000003</v>
      </c>
      <c r="J10" s="55">
        <v>-141171.45400000003</v>
      </c>
      <c r="K10" s="55">
        <v>-141171.45400000003</v>
      </c>
      <c r="L10" s="55">
        <v>163132.52000000002</v>
      </c>
      <c r="M10" s="55">
        <v>-196267.8</v>
      </c>
      <c r="N10" s="55">
        <v>-166267.79999999999</v>
      </c>
      <c r="O10" s="55">
        <v>-166267.79999999999</v>
      </c>
      <c r="P10" s="55">
        <v>-166267.79999999999</v>
      </c>
      <c r="Q10" s="55">
        <v>-166267.79999999999</v>
      </c>
      <c r="R10" s="55">
        <v>-166267.79999999999</v>
      </c>
      <c r="S10" s="55">
        <v>-166267.79999999999</v>
      </c>
      <c r="T10" s="55"/>
      <c r="U10" s="55">
        <v>49.319049999999997</v>
      </c>
      <c r="V10" s="55">
        <v>-16.065760000000004</v>
      </c>
      <c r="W10" s="55">
        <v>-16.065760000000004</v>
      </c>
      <c r="X10" s="55">
        <v>-16.140840000000004</v>
      </c>
      <c r="Y10" s="55">
        <v>16.40034</v>
      </c>
      <c r="Z10" s="55">
        <v>0</v>
      </c>
      <c r="AA10" s="55">
        <v>0</v>
      </c>
      <c r="AB10" s="55">
        <v>-32.483550000000022</v>
      </c>
      <c r="AC10" s="55">
        <v>-31.608290000000022</v>
      </c>
      <c r="AD10" s="55">
        <v>-30.789490000000022</v>
      </c>
      <c r="AE10" s="55">
        <v>34.681979999999989</v>
      </c>
      <c r="AF10" s="55">
        <v>-41.019970000000008</v>
      </c>
      <c r="AG10" s="55">
        <v>-34.799850000000006</v>
      </c>
      <c r="AH10" s="55">
        <v>-35.298650000000009</v>
      </c>
      <c r="AI10" s="55">
        <v>-34.833100000000009</v>
      </c>
      <c r="AJ10" s="55">
        <v>-36.711930000000009</v>
      </c>
      <c r="AK10" s="55">
        <v>-38.806900000000006</v>
      </c>
      <c r="AL10" s="55">
        <v>-38.357980000000005</v>
      </c>
      <c r="AM10" s="55">
        <v>-41.963159999999988</v>
      </c>
    </row>
    <row r="11" spans="1:39" ht="14.5" x14ac:dyDescent="0.35">
      <c r="A11" s="100" t="s">
        <v>100</v>
      </c>
      <c r="B11" s="99" t="s">
        <v>56</v>
      </c>
      <c r="C11" s="55">
        <v>-61205.985000000015</v>
      </c>
      <c r="D11" s="55">
        <v>-150065.76900000003</v>
      </c>
      <c r="E11" s="55">
        <v>-36721.991000000009</v>
      </c>
      <c r="F11" s="55">
        <v>-26585.897000000004</v>
      </c>
      <c r="G11" s="55">
        <v>-30769.68</v>
      </c>
      <c r="H11" s="55">
        <v>-25871.803000000011</v>
      </c>
      <c r="I11" s="55">
        <v>-15238.097000000011</v>
      </c>
      <c r="J11" s="55">
        <v>-20346.46100000001</v>
      </c>
      <c r="K11" s="55">
        <v>-55326.922000000006</v>
      </c>
      <c r="L11" s="55">
        <v>-27388.386000000006</v>
      </c>
      <c r="M11" s="55">
        <v>-15042.919000000005</v>
      </c>
      <c r="N11" s="55">
        <v>-31623.263000000006</v>
      </c>
      <c r="O11" s="55">
        <v>-33753.169000000009</v>
      </c>
      <c r="P11" s="55">
        <v>-41959.579000000012</v>
      </c>
      <c r="Q11" s="55">
        <v>-20862.497000000007</v>
      </c>
      <c r="R11" s="55">
        <v>-8214.3780000000061</v>
      </c>
      <c r="S11" s="55">
        <v>-7895.1740000000063</v>
      </c>
      <c r="T11" s="55"/>
      <c r="U11" s="55">
        <v>-14.261000000000003</v>
      </c>
      <c r="V11" s="55">
        <v>-35.325470000000003</v>
      </c>
      <c r="W11" s="55">
        <v>-35.325470000000003</v>
      </c>
      <c r="X11" s="55">
        <v>-8.6847300000000001</v>
      </c>
      <c r="Y11" s="55">
        <v>-5.9791600000000003</v>
      </c>
      <c r="Z11" s="55">
        <v>-7.0462499999999997</v>
      </c>
      <c r="AA11" s="55">
        <v>-5.862540000000001</v>
      </c>
      <c r="AB11" s="55">
        <v>-3.5062800000000012</v>
      </c>
      <c r="AC11" s="55">
        <v>-4.5555900000000014</v>
      </c>
      <c r="AD11" s="55">
        <v>-12.066800000000002</v>
      </c>
      <c r="AE11" s="55">
        <v>-5.8227800000000016</v>
      </c>
      <c r="AF11" s="55">
        <v>-3.1439800000000004</v>
      </c>
      <c r="AG11" s="55">
        <v>-6.6187400000000007</v>
      </c>
      <c r="AH11" s="55">
        <v>-7.1658000000000008</v>
      </c>
      <c r="AI11" s="55">
        <v>-8.7905300000000004</v>
      </c>
      <c r="AJ11" s="55">
        <v>-4.606440000000001</v>
      </c>
      <c r="AK11" s="55">
        <v>-1.9172300000000007</v>
      </c>
      <c r="AL11" s="55">
        <v>-1.8214200000000007</v>
      </c>
      <c r="AM11" s="55">
        <v>-5.7386900000000072</v>
      </c>
    </row>
    <row r="12" spans="1:39" ht="14.5" x14ac:dyDescent="0.35">
      <c r="A12" s="100" t="s">
        <v>101</v>
      </c>
      <c r="B12" s="99" t="s">
        <v>57</v>
      </c>
      <c r="C12" s="55">
        <v>2468285.5279999995</v>
      </c>
      <c r="D12" s="55">
        <v>2663398.6049999995</v>
      </c>
      <c r="E12" s="55">
        <v>3229303.8649999993</v>
      </c>
      <c r="F12" s="55">
        <v>4145218.5169999995</v>
      </c>
      <c r="G12" s="55">
        <v>4930314.0479999995</v>
      </c>
      <c r="H12" s="55">
        <v>4556791.1220000004</v>
      </c>
      <c r="I12" s="55">
        <v>5557202.5100000007</v>
      </c>
      <c r="J12" s="55">
        <v>4801296.9590000007</v>
      </c>
      <c r="K12" s="55">
        <v>4819841.1630000006</v>
      </c>
      <c r="L12" s="55">
        <v>5005696.3270000005</v>
      </c>
      <c r="M12" s="55">
        <v>4985210.0090000005</v>
      </c>
      <c r="N12" s="55">
        <v>5014814.4310000008</v>
      </c>
      <c r="O12" s="55">
        <v>4942146.3080000011</v>
      </c>
      <c r="P12" s="55">
        <v>5455379.046000001</v>
      </c>
      <c r="Q12" s="55">
        <v>5266346.9590000007</v>
      </c>
      <c r="R12" s="55">
        <v>5558645.995000001</v>
      </c>
      <c r="S12" s="55">
        <v>5534157.1300000008</v>
      </c>
      <c r="T12" s="55"/>
      <c r="U12" s="55">
        <v>575.11053000000015</v>
      </c>
      <c r="V12" s="55">
        <v>626.96403000000009</v>
      </c>
      <c r="W12" s="55">
        <v>626.96403000000009</v>
      </c>
      <c r="X12" s="55">
        <v>763.73037000000011</v>
      </c>
      <c r="Y12" s="55">
        <v>932.2596400000001</v>
      </c>
      <c r="Z12" s="55">
        <v>1129.0419100000001</v>
      </c>
      <c r="AA12" s="55">
        <v>1032.5688600000001</v>
      </c>
      <c r="AB12" s="55">
        <v>1278.7123000000001</v>
      </c>
      <c r="AC12" s="55">
        <v>1075.0103900000001</v>
      </c>
      <c r="AD12" s="55">
        <v>1051.2073500000001</v>
      </c>
      <c r="AE12" s="55">
        <v>1064.2110300000002</v>
      </c>
      <c r="AF12" s="55">
        <v>1041.9089000000001</v>
      </c>
      <c r="AG12" s="55">
        <v>1049.6006600000001</v>
      </c>
      <c r="AH12" s="55">
        <v>1049.21767</v>
      </c>
      <c r="AI12" s="55">
        <v>1142.90191</v>
      </c>
      <c r="AJ12" s="55">
        <v>1162.8094000000001</v>
      </c>
      <c r="AK12" s="55">
        <v>1297.3879700000002</v>
      </c>
      <c r="AL12" s="55">
        <v>1276.7300400000001</v>
      </c>
      <c r="AM12" s="55">
        <v>1131.7460000000001</v>
      </c>
    </row>
    <row r="13" spans="1:39" ht="14.5" x14ac:dyDescent="0.35">
      <c r="A13" s="100" t="s">
        <v>102</v>
      </c>
      <c r="B13" s="99" t="s">
        <v>58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/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</row>
    <row r="14" spans="1:39" ht="15.75" customHeight="1" x14ac:dyDescent="0.35">
      <c r="A14" s="100" t="s">
        <v>103</v>
      </c>
      <c r="B14" s="99" t="s">
        <v>59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/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</row>
    <row r="15" spans="1:39" s="80" customFormat="1" ht="14.5" x14ac:dyDescent="0.35">
      <c r="A15" s="104" t="s">
        <v>60</v>
      </c>
      <c r="B15" s="103" t="s">
        <v>61</v>
      </c>
      <c r="C15" s="82">
        <f>SUM(C9:C14)</f>
        <v>15872910.817999996</v>
      </c>
      <c r="D15" s="73">
        <f t="shared" ref="D15:S15" si="0">SUM(D9:D14)</f>
        <v>13409070.254000001</v>
      </c>
      <c r="E15" s="73">
        <f t="shared" si="0"/>
        <v>13492561.278999999</v>
      </c>
      <c r="F15" s="73">
        <f t="shared" si="0"/>
        <v>15689550.359999998</v>
      </c>
      <c r="G15" s="73">
        <f t="shared" si="0"/>
        <v>18362867.511</v>
      </c>
      <c r="H15" s="73">
        <f t="shared" si="0"/>
        <v>17788144.841000006</v>
      </c>
      <c r="I15" s="73">
        <f t="shared" si="0"/>
        <v>16343759.052000005</v>
      </c>
      <c r="J15" s="73">
        <f t="shared" si="0"/>
        <v>15386160.673000004</v>
      </c>
      <c r="K15" s="73">
        <f t="shared" si="0"/>
        <v>15333718.158000004</v>
      </c>
      <c r="L15" s="73">
        <f t="shared" si="0"/>
        <v>15992458.175000004</v>
      </c>
      <c r="M15" s="73">
        <f t="shared" si="0"/>
        <v>14867714.716000002</v>
      </c>
      <c r="N15" s="73">
        <f t="shared" si="0"/>
        <v>16584089.482000001</v>
      </c>
      <c r="O15" s="73">
        <f t="shared" si="0"/>
        <v>16081590.410000004</v>
      </c>
      <c r="P15" s="73">
        <f t="shared" si="0"/>
        <v>15315227.362000003</v>
      </c>
      <c r="Q15" s="73">
        <f t="shared" si="0"/>
        <v>14124798.303000003</v>
      </c>
      <c r="R15" s="73">
        <f t="shared" si="0"/>
        <v>17807324.508000001</v>
      </c>
      <c r="S15" s="73">
        <f t="shared" si="0"/>
        <v>18844162.120999999</v>
      </c>
      <c r="T15" s="60"/>
      <c r="U15" s="82">
        <f>SUM(U9:U14)</f>
        <v>3698.3881899999997</v>
      </c>
      <c r="V15" s="73">
        <f t="shared" ref="V15:AM15" si="1">SUM(V9:V14)</f>
        <v>3156.4951299999989</v>
      </c>
      <c r="W15" s="73">
        <f t="shared" si="1"/>
        <v>3156.4951299999989</v>
      </c>
      <c r="X15" s="73">
        <f t="shared" si="1"/>
        <v>3190.9907399999993</v>
      </c>
      <c r="Y15" s="73">
        <f t="shared" si="1"/>
        <v>3528.5798999999997</v>
      </c>
      <c r="Z15" s="73">
        <f t="shared" si="1"/>
        <v>4205.0966699999999</v>
      </c>
      <c r="AA15" s="73">
        <f t="shared" si="1"/>
        <v>4030.7936200000004</v>
      </c>
      <c r="AB15" s="73">
        <f t="shared" si="1"/>
        <v>3760.6989400000007</v>
      </c>
      <c r="AC15" s="73">
        <f t="shared" si="1"/>
        <v>3444.9613400000007</v>
      </c>
      <c r="AD15" s="73">
        <f t="shared" si="1"/>
        <v>3344.2839100000006</v>
      </c>
      <c r="AE15" s="73">
        <f t="shared" si="1"/>
        <v>3399.9966100000011</v>
      </c>
      <c r="AF15" s="73">
        <f t="shared" si="1"/>
        <v>3107.3523700000014</v>
      </c>
      <c r="AG15" s="73">
        <f t="shared" si="1"/>
        <v>3471.049950000001</v>
      </c>
      <c r="AH15" s="73">
        <f t="shared" si="1"/>
        <v>3414.1216700000004</v>
      </c>
      <c r="AI15" s="73">
        <f t="shared" si="1"/>
        <v>3208.540140000001</v>
      </c>
      <c r="AJ15" s="73">
        <f t="shared" si="1"/>
        <v>3118.755470000001</v>
      </c>
      <c r="AK15" s="73">
        <f t="shared" si="1"/>
        <v>4156.2295300000005</v>
      </c>
      <c r="AL15" s="73">
        <f t="shared" si="1"/>
        <v>4347.3481700000002</v>
      </c>
      <c r="AM15" s="73">
        <f t="shared" si="1"/>
        <v>3687.1995500000007</v>
      </c>
    </row>
    <row r="16" spans="1:39" ht="14.5" x14ac:dyDescent="0.35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</row>
    <row r="17" spans="1:13" ht="14.5" x14ac:dyDescent="0.35">
      <c r="A17" s="54"/>
      <c r="B17" s="54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8177-3BD2-4F78-BCD8-6DA9C26185DA}">
  <dimension ref="A1:AK26"/>
  <sheetViews>
    <sheetView workbookViewId="0">
      <pane xSplit="3" ySplit="7" topLeftCell="I21" activePane="bottomRight" state="frozen"/>
      <selection pane="topRight" activeCell="D1" sqref="D1"/>
      <selection pane="bottomLeft" activeCell="A8" sqref="A8"/>
      <selection pane="bottomRight" activeCell="C24" sqref="C24"/>
    </sheetView>
  </sheetViews>
  <sheetFormatPr baseColWidth="10" defaultColWidth="11.453125" defaultRowHeight="14.5" x14ac:dyDescent="0.35"/>
  <cols>
    <col min="1" max="1" width="10.7265625" customWidth="1"/>
    <col min="2" max="2" width="34.7265625" customWidth="1"/>
    <col min="3" max="3" width="18.7265625" style="38" customWidth="1"/>
    <col min="4" max="4" width="16.54296875" style="38" customWidth="1"/>
    <col min="5" max="5" width="19.26953125" style="38" customWidth="1"/>
    <col min="6" max="6" width="16.26953125" style="38" customWidth="1"/>
    <col min="7" max="7" width="15" style="38" customWidth="1"/>
    <col min="8" max="8" width="16.81640625" style="38" customWidth="1"/>
    <col min="9" max="9" width="13.453125" style="38" customWidth="1"/>
    <col min="10" max="10" width="14.453125" style="38" customWidth="1"/>
    <col min="11" max="11" width="16.54296875" style="38" customWidth="1"/>
    <col min="12" max="12" width="14" style="38" customWidth="1"/>
    <col min="13" max="13" width="13.81640625" style="38" customWidth="1"/>
    <col min="14" max="19" width="12.6328125" style="78" bestFit="1" customWidth="1"/>
    <col min="20" max="20" width="11.453125" style="78"/>
    <col min="21" max="37" width="11.54296875" style="78" bestFit="1" customWidth="1"/>
    <col min="38" max="16384" width="11.453125" style="78"/>
  </cols>
  <sheetData>
    <row r="1" spans="1:37" s="76" customFormat="1" x14ac:dyDescent="0.35">
      <c r="A1" s="99"/>
      <c r="B1" s="99"/>
      <c r="C1" s="99" t="s">
        <v>45</v>
      </c>
      <c r="D1" s="99" t="s">
        <v>45</v>
      </c>
      <c r="E1" s="99" t="s">
        <v>45</v>
      </c>
      <c r="F1" s="99" t="s">
        <v>45</v>
      </c>
      <c r="G1" s="99" t="s">
        <v>45</v>
      </c>
      <c r="H1" s="99" t="s">
        <v>45</v>
      </c>
      <c r="I1" s="99"/>
      <c r="J1" s="99" t="s">
        <v>45</v>
      </c>
      <c r="K1" s="99" t="s">
        <v>45</v>
      </c>
      <c r="L1" s="99" t="s">
        <v>45</v>
      </c>
      <c r="M1" s="99" t="s">
        <v>45</v>
      </c>
      <c r="N1" s="99" t="s">
        <v>45</v>
      </c>
      <c r="O1" s="99" t="s">
        <v>45</v>
      </c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</row>
    <row r="2" spans="1:37" s="76" customFormat="1" x14ac:dyDescent="0.35">
      <c r="A2" s="99"/>
      <c r="B2" s="99"/>
      <c r="C2" s="100" t="s">
        <v>105</v>
      </c>
      <c r="D2" s="100" t="s">
        <v>105</v>
      </c>
      <c r="E2" s="100" t="s">
        <v>105</v>
      </c>
      <c r="F2" s="100" t="s">
        <v>105</v>
      </c>
      <c r="G2" s="100" t="s">
        <v>105</v>
      </c>
      <c r="H2" s="100" t="s">
        <v>96</v>
      </c>
      <c r="I2" s="99"/>
      <c r="J2" s="100" t="s">
        <v>105</v>
      </c>
      <c r="K2" s="100" t="s">
        <v>105</v>
      </c>
      <c r="L2" s="100" t="s">
        <v>105</v>
      </c>
      <c r="M2" s="100" t="s">
        <v>105</v>
      </c>
      <c r="N2" s="100" t="s">
        <v>105</v>
      </c>
      <c r="O2" s="100" t="s">
        <v>96</v>
      </c>
      <c r="P2" s="104"/>
      <c r="Q2" s="104"/>
      <c r="R2" s="104"/>
      <c r="S2" s="104"/>
      <c r="T2" s="103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</row>
    <row r="3" spans="1:37" s="76" customFormat="1" x14ac:dyDescent="0.35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</row>
    <row r="4" spans="1:37" s="76" customFormat="1" x14ac:dyDescent="0.35">
      <c r="A4" s="99"/>
      <c r="B4" s="99"/>
      <c r="C4" s="99" t="s">
        <v>62</v>
      </c>
      <c r="D4" s="99" t="s">
        <v>62</v>
      </c>
      <c r="E4" s="99" t="s">
        <v>62</v>
      </c>
      <c r="F4" s="99" t="s">
        <v>62</v>
      </c>
      <c r="G4" s="99" t="s">
        <v>62</v>
      </c>
      <c r="H4" s="99" t="s">
        <v>62</v>
      </c>
      <c r="I4" s="99"/>
      <c r="J4" s="99" t="s">
        <v>62</v>
      </c>
      <c r="K4" s="99" t="s">
        <v>62</v>
      </c>
      <c r="L4" s="99" t="s">
        <v>62</v>
      </c>
      <c r="M4" s="99" t="s">
        <v>62</v>
      </c>
      <c r="N4" s="99" t="s">
        <v>62</v>
      </c>
      <c r="O4" s="99" t="s">
        <v>62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</row>
    <row r="5" spans="1:37" s="76" customFormat="1" x14ac:dyDescent="0.35">
      <c r="A5" s="99"/>
      <c r="B5" s="99"/>
      <c r="C5" s="99" t="s">
        <v>47</v>
      </c>
      <c r="D5" s="99" t="s">
        <v>47</v>
      </c>
      <c r="E5" s="99" t="s">
        <v>47</v>
      </c>
      <c r="F5" s="99" t="s">
        <v>47</v>
      </c>
      <c r="G5" s="99" t="s">
        <v>47</v>
      </c>
      <c r="H5" s="99" t="s">
        <v>47</v>
      </c>
      <c r="I5" s="99"/>
      <c r="J5" s="99" t="s">
        <v>48</v>
      </c>
      <c r="K5" s="99" t="s">
        <v>48</v>
      </c>
      <c r="L5" s="99" t="s">
        <v>48</v>
      </c>
      <c r="M5" s="99" t="s">
        <v>48</v>
      </c>
      <c r="N5" s="99" t="s">
        <v>48</v>
      </c>
      <c r="O5" s="99" t="s">
        <v>48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</row>
    <row r="6" spans="1:37" s="76" customFormat="1" x14ac:dyDescent="0.35">
      <c r="A6" s="99"/>
      <c r="B6" s="99"/>
      <c r="C6" s="99" t="s">
        <v>106</v>
      </c>
      <c r="D6" s="99" t="s">
        <v>104</v>
      </c>
      <c r="E6" s="99" t="s">
        <v>49</v>
      </c>
      <c r="F6" s="99" t="s">
        <v>50</v>
      </c>
      <c r="G6" s="99" t="s">
        <v>51</v>
      </c>
      <c r="H6" s="99" t="s">
        <v>95</v>
      </c>
      <c r="I6" s="99"/>
      <c r="J6" s="99" t="s">
        <v>106</v>
      </c>
      <c r="K6" s="99" t="s">
        <v>104</v>
      </c>
      <c r="L6" s="99" t="s">
        <v>49</v>
      </c>
      <c r="M6" s="99" t="s">
        <v>50</v>
      </c>
      <c r="N6" s="99" t="s">
        <v>51</v>
      </c>
      <c r="O6" s="99" t="s">
        <v>95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</row>
    <row r="7" spans="1:37" s="77" customFormat="1" x14ac:dyDescent="0.35">
      <c r="A7" s="99"/>
      <c r="B7" s="99"/>
      <c r="C7" s="99" t="s">
        <v>52</v>
      </c>
      <c r="D7" s="99" t="s">
        <v>52</v>
      </c>
      <c r="E7" s="99" t="s">
        <v>52</v>
      </c>
      <c r="F7" s="99" t="s">
        <v>52</v>
      </c>
      <c r="G7" s="99" t="s">
        <v>52</v>
      </c>
      <c r="H7" s="99" t="s">
        <v>52</v>
      </c>
      <c r="I7" s="99"/>
      <c r="J7" s="99" t="s">
        <v>52</v>
      </c>
      <c r="K7" s="99" t="s">
        <v>52</v>
      </c>
      <c r="L7" s="99" t="s">
        <v>52</v>
      </c>
      <c r="M7" s="99" t="s">
        <v>52</v>
      </c>
      <c r="N7" s="99" t="s">
        <v>52</v>
      </c>
      <c r="O7" s="99" t="s">
        <v>52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</row>
    <row r="8" spans="1:37" hidden="1" x14ac:dyDescent="0.35">
      <c r="A8" s="99" t="s">
        <v>63</v>
      </c>
      <c r="B8" s="99" t="s">
        <v>64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/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</row>
    <row r="9" spans="1:37" hidden="1" x14ac:dyDescent="0.35">
      <c r="A9" s="99" t="s">
        <v>65</v>
      </c>
      <c r="B9" s="99" t="s">
        <v>66</v>
      </c>
      <c r="C9" s="99">
        <v>0</v>
      </c>
      <c r="D9" s="99">
        <v>0</v>
      </c>
      <c r="E9" s="99">
        <v>0</v>
      </c>
      <c r="F9" s="99">
        <v>0</v>
      </c>
      <c r="G9" s="99">
        <v>0</v>
      </c>
      <c r="H9" s="99">
        <v>0</v>
      </c>
      <c r="I9" s="99"/>
      <c r="J9" s="99"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</row>
    <row r="10" spans="1:37" hidden="1" x14ac:dyDescent="0.35">
      <c r="A10" s="100" t="s">
        <v>67</v>
      </c>
      <c r="B10" s="99" t="s">
        <v>68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/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</row>
    <row r="11" spans="1:37" hidden="1" x14ac:dyDescent="0.35">
      <c r="A11" s="100" t="s">
        <v>69</v>
      </c>
      <c r="B11" s="99" t="s">
        <v>70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/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</row>
    <row r="12" spans="1:37" hidden="1" x14ac:dyDescent="0.35">
      <c r="A12" s="100" t="s">
        <v>71</v>
      </c>
      <c r="B12" s="99" t="s">
        <v>72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/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</row>
    <row r="13" spans="1:37" hidden="1" x14ac:dyDescent="0.35">
      <c r="A13" s="100" t="s">
        <v>73</v>
      </c>
      <c r="B13" s="99" t="s">
        <v>74</v>
      </c>
      <c r="C13" s="99">
        <v>0</v>
      </c>
      <c r="D13" s="99">
        <v>0</v>
      </c>
      <c r="E13" s="99">
        <v>0</v>
      </c>
      <c r="F13" s="99">
        <v>0</v>
      </c>
      <c r="G13" s="99">
        <v>0</v>
      </c>
      <c r="H13" s="99">
        <v>4.6566128730773926E-10</v>
      </c>
      <c r="I13" s="99"/>
      <c r="J13" s="99"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</row>
    <row r="14" spans="1:37" hidden="1" x14ac:dyDescent="0.35">
      <c r="A14" s="100" t="s">
        <v>75</v>
      </c>
      <c r="B14" s="99" t="s">
        <v>76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  <c r="H14" s="99">
        <v>0</v>
      </c>
      <c r="I14" s="99"/>
      <c r="J14" s="99"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</row>
    <row r="15" spans="1:37" hidden="1" x14ac:dyDescent="0.35">
      <c r="A15" s="100" t="s">
        <v>77</v>
      </c>
      <c r="B15" s="99" t="s">
        <v>78</v>
      </c>
      <c r="C15" s="99">
        <v>0</v>
      </c>
      <c r="D15" s="99">
        <v>0</v>
      </c>
      <c r="E15" s="99">
        <v>0</v>
      </c>
      <c r="F15" s="99">
        <v>0</v>
      </c>
      <c r="G15" s="99">
        <v>0</v>
      </c>
      <c r="H15" s="99">
        <v>0</v>
      </c>
      <c r="I15" s="99"/>
      <c r="J15" s="99"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</row>
    <row r="16" spans="1:37" hidden="1" x14ac:dyDescent="0.35">
      <c r="A16" s="100" t="s">
        <v>79</v>
      </c>
      <c r="B16" s="99" t="s">
        <v>80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/>
      <c r="J16" s="99"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</row>
    <row r="17" spans="1:37" hidden="1" x14ac:dyDescent="0.35">
      <c r="A17" s="99" t="s">
        <v>81</v>
      </c>
      <c r="B17" s="99" t="s">
        <v>82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4.6566128730773926E-10</v>
      </c>
      <c r="I17" s="99"/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</row>
    <row r="18" spans="1:37" hidden="1" x14ac:dyDescent="0.35">
      <c r="A18" s="99" t="s">
        <v>83</v>
      </c>
      <c r="B18" s="99" t="s">
        <v>84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/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</row>
    <row r="19" spans="1:37" hidden="1" x14ac:dyDescent="0.35">
      <c r="A19" s="99" t="s">
        <v>85</v>
      </c>
      <c r="B19" s="99" t="s">
        <v>86</v>
      </c>
      <c r="C19" s="99">
        <v>0</v>
      </c>
      <c r="D19" s="99">
        <v>0</v>
      </c>
      <c r="E19" s="99">
        <v>0</v>
      </c>
      <c r="F19" s="99">
        <v>0</v>
      </c>
      <c r="G19" s="99">
        <v>0</v>
      </c>
      <c r="H19" s="99">
        <v>0</v>
      </c>
      <c r="I19" s="99"/>
      <c r="J19" s="99"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</row>
    <row r="20" spans="1:37" hidden="1" x14ac:dyDescent="0.35">
      <c r="A20" s="99" t="s">
        <v>87</v>
      </c>
      <c r="B20" s="99" t="s">
        <v>88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/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</row>
    <row r="21" spans="1:37" x14ac:dyDescent="0.35">
      <c r="A21" s="99" t="s">
        <v>89</v>
      </c>
      <c r="B21" s="99" t="s">
        <v>90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4.6566128730773926E-10</v>
      </c>
      <c r="I21" s="99"/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spans="1:37" x14ac:dyDescent="0.35">
      <c r="A22" s="55" t="s">
        <v>91</v>
      </c>
      <c r="B22" s="55" t="s">
        <v>92</v>
      </c>
      <c r="C22" s="55">
        <v>-445208.62099999998</v>
      </c>
      <c r="D22" s="55">
        <v>-363721.73499999999</v>
      </c>
      <c r="E22" s="55">
        <v>-285412.34999999998</v>
      </c>
      <c r="F22" s="55">
        <v>-233815.448</v>
      </c>
      <c r="G22" s="55">
        <v>-205147.81200000001</v>
      </c>
      <c r="H22" s="55">
        <v>-251991.81999999989</v>
      </c>
      <c r="I22" s="55"/>
      <c r="J22" s="55">
        <v>-103.73360999999998</v>
      </c>
      <c r="K22" s="55">
        <v>-85.620099999999979</v>
      </c>
      <c r="L22" s="55">
        <v>-67.500009999999989</v>
      </c>
      <c r="M22" s="55">
        <v>-52.585079999999991</v>
      </c>
      <c r="N22" s="55">
        <v>-46.978839999999991</v>
      </c>
      <c r="O22" s="55">
        <v>-57.101359999999957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</row>
    <row r="23" spans="1:37" s="77" customFormat="1" ht="15" customHeight="1" x14ac:dyDescent="0.35">
      <c r="A23" s="55" t="s">
        <v>93</v>
      </c>
      <c r="B23" s="55" t="s">
        <v>94</v>
      </c>
      <c r="C23" s="55">
        <v>-445208.62099999998</v>
      </c>
      <c r="D23" s="55">
        <v>-363721.73499999999</v>
      </c>
      <c r="E23" s="55">
        <v>-285412.34999999998</v>
      </c>
      <c r="F23" s="55">
        <v>-233815.448</v>
      </c>
      <c r="G23" s="55">
        <v>-205147.81200000001</v>
      </c>
      <c r="H23" s="55">
        <v>-251991.81999999989</v>
      </c>
      <c r="I23" s="55"/>
      <c r="J23" s="55">
        <v>-103.73360999999998</v>
      </c>
      <c r="K23" s="55">
        <v>-85.620099999999979</v>
      </c>
      <c r="L23" s="55">
        <v>-67.500009999999989</v>
      </c>
      <c r="M23" s="55">
        <v>-52.585079999999991</v>
      </c>
      <c r="N23" s="55">
        <v>-46.978839999999991</v>
      </c>
      <c r="O23" s="55">
        <v>-57.101359999999957</v>
      </c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 spans="1:37" x14ac:dyDescent="0.35">
      <c r="A24" s="55" t="s">
        <v>46</v>
      </c>
      <c r="B24" s="55" t="s">
        <v>46</v>
      </c>
      <c r="C24" s="105">
        <v>-445208.62099999998</v>
      </c>
      <c r="D24" s="55">
        <v>-363721.73499999999</v>
      </c>
      <c r="E24" s="55">
        <v>-285412.34999999998</v>
      </c>
      <c r="F24" s="55">
        <v>-233815.448</v>
      </c>
      <c r="G24" s="55">
        <v>-205147.81200000001</v>
      </c>
      <c r="H24" s="55">
        <v>-251991.8200000003</v>
      </c>
      <c r="I24" s="55"/>
      <c r="J24" s="105">
        <v>-103.73360999999998</v>
      </c>
      <c r="K24" s="55">
        <v>-85.620099999999979</v>
      </c>
      <c r="L24" s="55">
        <v>-67.500009999999989</v>
      </c>
      <c r="M24" s="55">
        <v>-52.585079999999991</v>
      </c>
      <c r="N24" s="55">
        <v>-46.978839999999991</v>
      </c>
      <c r="O24" s="55">
        <v>-57.101359999999772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</row>
    <row r="25" spans="1:37" ht="12" customHeight="1" x14ac:dyDescent="0.35">
      <c r="A25" s="54"/>
      <c r="B25" s="54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</row>
    <row r="26" spans="1:37" x14ac:dyDescent="0.35">
      <c r="A26" s="54"/>
      <c r="B26" s="54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4c56e8-d46b-4105-983d-5823d8fd43e9" xsi:nil="true"/>
    <lcf76f155ced4ddcb4097134ff3c332f xmlns="d5813a71-ed45-4723-a8fb-02e2d19c60c4">
      <Terms xmlns="http://schemas.microsoft.com/office/infopath/2007/PartnerControls"/>
    </lcf76f155ced4ddcb4097134ff3c332f>
    <FECHA xmlns="d5813a71-ed45-4723-a8fb-02e2d19c60c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80ACE9286AA24ABB000DEB6A7192BC" ma:contentTypeVersion="16" ma:contentTypeDescription="Create a new document." ma:contentTypeScope="" ma:versionID="06d80cc428971849cb5cfe5df495203c">
  <xsd:schema xmlns:xsd="http://www.w3.org/2001/XMLSchema" xmlns:xs="http://www.w3.org/2001/XMLSchema" xmlns:p="http://schemas.microsoft.com/office/2006/metadata/properties" xmlns:ns2="d5813a71-ed45-4723-a8fb-02e2d19c60c4" xmlns:ns3="f54c56e8-d46b-4105-983d-5823d8fd43e9" targetNamespace="http://schemas.microsoft.com/office/2006/metadata/properties" ma:root="true" ma:fieldsID="d45f7a2125e0aff5fe1efeaa82a0ec60" ns2:_="" ns3:_="">
    <xsd:import namespace="d5813a71-ed45-4723-a8fb-02e2d19c60c4"/>
    <xsd:import namespace="f54c56e8-d46b-4105-983d-5823d8fd4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13a71-ed45-4723-a8fb-02e2d19c6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" ma:index="22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c56e8-d46b-4105-983d-5823d8fd4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306fd9-ada2-4a92-8d5c-8d4673a550b5}" ma:internalName="TaxCatchAll" ma:showField="CatchAllData" ma:web="f54c56e8-d46b-4105-983d-5823d8fd43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E4D62-3004-460A-B58C-A7887D84B698}">
  <ds:schemaRefs>
    <ds:schemaRef ds:uri="http://schemas.microsoft.com/office/2006/metadata/properties"/>
    <ds:schemaRef ds:uri="http://schemas.microsoft.com/office/infopath/2007/PartnerControls"/>
    <ds:schemaRef ds:uri="f54c56e8-d46b-4105-983d-5823d8fd43e9"/>
    <ds:schemaRef ds:uri="d5813a71-ed45-4723-a8fb-02e2d19c60c4"/>
  </ds:schemaRefs>
</ds:datastoreItem>
</file>

<file path=customXml/itemProps2.xml><?xml version="1.0" encoding="utf-8"?>
<ds:datastoreItem xmlns:ds="http://schemas.openxmlformats.org/officeDocument/2006/customXml" ds:itemID="{C973F94D-CCF6-46D5-BA12-7852684D38EB}"/>
</file>

<file path=customXml/itemProps3.xml><?xml version="1.0" encoding="utf-8"?>
<ds:datastoreItem xmlns:ds="http://schemas.openxmlformats.org/officeDocument/2006/customXml" ds:itemID="{18B04F0E-205B-4C5C-9626-04DFD19099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MODELO DEUDA MAYO 26</vt:lpstr>
      <vt:lpstr>FOCUS</vt:lpstr>
      <vt:lpstr>PROV</vt:lpstr>
      <vt:lpstr>'MODELO DEUDA MAYO 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Valencia Varela Nancy</dc:creator>
  <cp:keywords/>
  <dc:description/>
  <cp:lastModifiedBy>Nancy Valencia Varela</cp:lastModifiedBy>
  <cp:revision/>
  <dcterms:created xsi:type="dcterms:W3CDTF">2022-02-08T13:51:56Z</dcterms:created>
  <dcterms:modified xsi:type="dcterms:W3CDTF">2026-06-09T18:01:40Z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0x010100C180ACE9286AA24ABB000DEB6A7192BC</vt:lpwstr>
  </property>
  <property fmtid="{D5CDD505-2E9C-101B-9397-08002B2CF9AE}" pid="3" name="MediaServiceImageTags">
    <vt:lpwstr/>
  </property>
</Properties>
</file>