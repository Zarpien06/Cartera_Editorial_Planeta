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04 ABRIL 2026/"/>
    </mc:Choice>
  </mc:AlternateContent>
  <xr:revisionPtr revIDLastSave="18" documentId="8_{720C1206-0C57-4629-96F2-F9F6106787C1}" xr6:coauthVersionLast="47" xr6:coauthVersionMax="47" xr10:uidLastSave="{1ECB98E0-03EE-4FE1-8E1F-63AD88A1DD5F}"/>
  <bookViews>
    <workbookView xWindow="-120" yWindow="-120" windowWidth="20730" windowHeight="11040" xr2:uid="{B303AFCC-524D-4A39-A3E8-376B7B137387}"/>
  </bookViews>
  <sheets>
    <sheet name="MODELO DEUDA ABRIL 26" sheetId="3" r:id="rId1"/>
    <sheet name="FOCUS" sheetId="1" r:id="rId2"/>
    <sheet name="PROV" sheetId="2" r:id="rId3"/>
  </sheets>
  <definedNames>
    <definedName name="_xlnm.Print_Area" localSheetId="0">'MODELO DEUDA ABRIL 26'!$A$1:$N$53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2" i="3" l="1"/>
  <c r="G52" i="3"/>
  <c r="E52" i="3"/>
  <c r="F49" i="3"/>
  <c r="F50" i="3" s="1"/>
  <c r="L50" i="3" s="1"/>
  <c r="L48" i="3" s="1"/>
  <c r="D49" i="3"/>
  <c r="D50" i="3" s="1"/>
  <c r="J50" i="3" s="1"/>
  <c r="J48" i="3" s="1"/>
  <c r="H48" i="3"/>
  <c r="L47" i="3"/>
  <c r="L49" i="3" s="1"/>
  <c r="J47" i="3"/>
  <c r="H47" i="3"/>
  <c r="H49" i="3" s="1"/>
  <c r="H50" i="3" s="1"/>
  <c r="L46" i="3"/>
  <c r="J46" i="3"/>
  <c r="H46" i="3"/>
  <c r="L45" i="3"/>
  <c r="J45" i="3"/>
  <c r="N45" i="3" s="1"/>
  <c r="H45" i="3"/>
  <c r="L44" i="3"/>
  <c r="N44" i="3" s="1"/>
  <c r="J44" i="3"/>
  <c r="F43" i="3"/>
  <c r="H42" i="3"/>
  <c r="F42" i="3"/>
  <c r="D42" i="3"/>
  <c r="D43" i="3" s="1"/>
  <c r="H41" i="3"/>
  <c r="L40" i="3"/>
  <c r="J40" i="3"/>
  <c r="L39" i="3"/>
  <c r="N39" i="3" s="1"/>
  <c r="J39" i="3"/>
  <c r="L38" i="3"/>
  <c r="J38" i="3"/>
  <c r="N38" i="3" s="1"/>
  <c r="L37" i="3"/>
  <c r="J37" i="3"/>
  <c r="N37" i="3" s="1"/>
  <c r="H37" i="3"/>
  <c r="L36" i="3"/>
  <c r="J36" i="3"/>
  <c r="N36" i="3" s="1"/>
  <c r="H36" i="3"/>
  <c r="L35" i="3"/>
  <c r="J35" i="3"/>
  <c r="N35" i="3" s="1"/>
  <c r="J49" i="3" l="1"/>
  <c r="N46" i="3"/>
  <c r="H43" i="3"/>
  <c r="H51" i="3" s="1"/>
  <c r="H52" i="3" s="1"/>
  <c r="N48" i="3"/>
  <c r="D51" i="3"/>
  <c r="D52" i="3" s="1"/>
  <c r="J43" i="3"/>
  <c r="F51" i="3"/>
  <c r="L43" i="3"/>
  <c r="N47" i="3"/>
  <c r="N40" i="3"/>
  <c r="C15" i="1"/>
  <c r="N49" i="3" l="1"/>
  <c r="N50" i="3" s="1"/>
  <c r="F52" i="3"/>
  <c r="J51" i="3"/>
  <c r="J41" i="3"/>
  <c r="L41" i="3"/>
  <c r="L42" i="3" s="1"/>
  <c r="L51" i="3"/>
  <c r="I15" i="1"/>
  <c r="M15" i="1"/>
  <c r="L15" i="1"/>
  <c r="K15" i="1"/>
  <c r="J15" i="1"/>
  <c r="G15" i="1"/>
  <c r="F15" i="1"/>
  <c r="E15" i="1"/>
  <c r="D15" i="1"/>
  <c r="N41" i="3" l="1"/>
  <c r="N42" i="3" s="1"/>
  <c r="N43" i="3" s="1"/>
  <c r="N51" i="3" s="1"/>
  <c r="J42" i="3"/>
  <c r="F17" i="3"/>
  <c r="H17" i="3" s="1"/>
  <c r="J10" i="3" l="1"/>
  <c r="H15" i="3" l="1"/>
  <c r="D22" i="3" l="1"/>
  <c r="H16" i="3" l="1"/>
  <c r="F28" i="3" l="1"/>
  <c r="F29" i="3" s="1"/>
  <c r="L29" i="3" s="1"/>
  <c r="D28" i="3"/>
  <c r="D29" i="3" s="1"/>
  <c r="D30" i="3" s="1"/>
  <c r="H27" i="3"/>
  <c r="H26" i="3"/>
  <c r="H28" i="3" s="1"/>
  <c r="H25" i="3"/>
  <c r="H24" i="3"/>
  <c r="L23" i="3"/>
  <c r="J23" i="3"/>
  <c r="J22" i="3"/>
  <c r="F21" i="3"/>
  <c r="D21" i="3"/>
  <c r="H20" i="3"/>
  <c r="H19" i="3"/>
  <c r="H18" i="3"/>
  <c r="J17" i="3"/>
  <c r="J14" i="3"/>
  <c r="L14" i="3"/>
  <c r="H21" i="3" l="1"/>
  <c r="H22" i="3"/>
  <c r="N23" i="3"/>
  <c r="F22" i="3"/>
  <c r="L17" i="3"/>
  <c r="N17" i="3" s="1"/>
  <c r="N14" i="3"/>
  <c r="J29" i="3"/>
  <c r="H29" i="3"/>
  <c r="H30" i="3" l="1"/>
  <c r="J30" i="3"/>
  <c r="L22" i="3"/>
  <c r="F30" i="3"/>
  <c r="L30" i="3" l="1"/>
  <c r="H10" i="3" l="1"/>
  <c r="H7" i="3"/>
  <c r="L15" i="3" l="1"/>
  <c r="L25" i="3"/>
  <c r="L18" i="3"/>
  <c r="J15" i="3"/>
  <c r="J25" i="3"/>
  <c r="J18" i="3"/>
  <c r="N18" i="3" s="1"/>
  <c r="L16" i="3"/>
  <c r="L19" i="3"/>
  <c r="J16" i="3"/>
  <c r="L24" i="3"/>
  <c r="J24" i="3"/>
  <c r="L26" i="3"/>
  <c r="J26" i="3"/>
  <c r="J19" i="3"/>
  <c r="N25" i="3" l="1"/>
  <c r="N26" i="3"/>
  <c r="J20" i="3"/>
  <c r="N15" i="3"/>
  <c r="N24" i="3"/>
  <c r="J27" i="3"/>
  <c r="L27" i="3"/>
  <c r="L28" i="3" s="1"/>
  <c r="N19" i="3"/>
  <c r="N16" i="3"/>
  <c r="L20" i="3"/>
  <c r="L21" i="3" s="1"/>
  <c r="N20" i="3" l="1"/>
  <c r="N21" i="3" s="1"/>
  <c r="N22" i="3" s="1"/>
  <c r="N27" i="3"/>
  <c r="N28" i="3" s="1"/>
  <c r="N29" i="3" s="1"/>
  <c r="J28" i="3"/>
  <c r="J21" i="3"/>
  <c r="N3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s>
  <commentList>
    <comment ref="H7" authorId="0" shapeId="0" xr:uid="{F43CCB8C-7C70-4D10-9872-9215D7A976C1}">
      <text>
        <r>
          <rPr>
            <sz val="9"/>
            <color indexed="81"/>
            <rFont val="Tahoma"/>
            <family val="2"/>
          </rPr>
          <t xml:space="preserve">
EURO</t>
        </r>
      </text>
    </comment>
    <comment ref="H8" authorId="0" shapeId="0" xr:uid="{80FD3B22-9CFB-46BB-94C1-614D580EE64D}">
      <text>
        <r>
          <rPr>
            <sz val="9"/>
            <color indexed="81"/>
            <rFont val="Tahoma"/>
            <family val="2"/>
          </rPr>
          <t xml:space="preserve">
EURO</t>
        </r>
      </text>
    </comment>
  </commentList>
</comments>
</file>

<file path=xl/sharedStrings.xml><?xml version="1.0" encoding="utf-8"?>
<sst xmlns="http://schemas.openxmlformats.org/spreadsheetml/2006/main" count="243" uniqueCount="107">
  <si>
    <t xml:space="preserve">                                                                                                                    </t>
  </si>
  <si>
    <t>RESUMEN DEUDA NO GRUPO (datos en Miles)</t>
  </si>
  <si>
    <t>LIBRERÍAS COLOMBIA</t>
  </si>
  <si>
    <t>Julio</t>
  </si>
  <si>
    <t>TIPO DE CAMBIO</t>
  </si>
  <si>
    <t>CIERRE</t>
  </si>
  <si>
    <t>Junio</t>
  </si>
  <si>
    <t>Diciembre A-1</t>
  </si>
  <si>
    <t>PROMEDIO</t>
  </si>
  <si>
    <t>MES</t>
  </si>
  <si>
    <t>Datos en Moneda Local</t>
  </si>
  <si>
    <t>Datos en  €</t>
  </si>
  <si>
    <t>Vencida</t>
  </si>
  <si>
    <t>No Vencida</t>
  </si>
  <si>
    <t>Total Deuda</t>
  </si>
  <si>
    <t>Deuda bruta NO Grupo (Inicial)</t>
  </si>
  <si>
    <t>- Cobros del mes</t>
  </si>
  <si>
    <t>+ Facturación del mes</t>
  </si>
  <si>
    <t>+/- Vencidos en el mes</t>
  </si>
  <si>
    <t>+/- Regularizaciones</t>
  </si>
  <si>
    <t>-/+ Actualización cambiaria</t>
  </si>
  <si>
    <t>+/- Ef. Conversión (solo cuadro €)</t>
  </si>
  <si>
    <t xml:space="preserve"> +/- Movimiento Tipo de Cambio</t>
  </si>
  <si>
    <t>Deuda bruta NO Grupo (Final)</t>
  </si>
  <si>
    <t>- Dotaciones Acumuladas (Inicial)</t>
  </si>
  <si>
    <t>- Dotaciones del mes</t>
  </si>
  <si>
    <t>+ Desdotaciones</t>
  </si>
  <si>
    <t>+/- Provisión acumulada (Final)</t>
  </si>
  <si>
    <t>Saldo neto</t>
  </si>
  <si>
    <t>ACUMULADO</t>
  </si>
  <si>
    <t>Deuda bruta NO Grupo (inicial)</t>
  </si>
  <si>
    <t>- Cobros</t>
  </si>
  <si>
    <t>+ Facturación</t>
  </si>
  <si>
    <t>+/- Vencidos</t>
  </si>
  <si>
    <t>- Dotaciones</t>
  </si>
  <si>
    <t>Enero</t>
  </si>
  <si>
    <t>Febrero</t>
  </si>
  <si>
    <t>Marzo</t>
  </si>
  <si>
    <t>Abril</t>
  </si>
  <si>
    <t xml:space="preserve">Mayo </t>
  </si>
  <si>
    <t>Agosto</t>
  </si>
  <si>
    <t>Septiembre</t>
  </si>
  <si>
    <t>Octubre</t>
  </si>
  <si>
    <t>Noviembre</t>
  </si>
  <si>
    <t>Diciembre</t>
  </si>
  <si>
    <t>Área</t>
  </si>
  <si>
    <t>InterCo</t>
  </si>
  <si>
    <t>MONEDA LOCAL</t>
  </si>
  <si>
    <t>Euros</t>
  </si>
  <si>
    <t>Marzo_ac</t>
  </si>
  <si>
    <t>Febrero_ac</t>
  </si>
  <si>
    <t>Enero_ac</t>
  </si>
  <si>
    <t>Real</t>
  </si>
  <si>
    <t>FRAS.PDTE.EMITIR</t>
  </si>
  <si>
    <t>CLIENTES NACIONALES</t>
  </si>
  <si>
    <t>CLIENTES NACIONALES ESPECIALES</t>
  </si>
  <si>
    <t>CONSIGNACION CLIENTES NO IDENT</t>
  </si>
  <si>
    <t>CLIENTES EXTRANJERO EUROS</t>
  </si>
  <si>
    <t>CHEQUES DEVUELTOS NACIONALES</t>
  </si>
  <si>
    <t>CHEQUES POSTFECHADOS  NACIONAL</t>
  </si>
  <si>
    <t>BCA10_1</t>
  </si>
  <si>
    <t>CLIENTES POR VENTAS Y PREST.SERVICIOS</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</si>
  <si>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</si>
  <si>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</si>
  <si>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</si>
  <si>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</si>
  <si>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</si>
  <si>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</si>
  <si>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</si>
  <si>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</si>
  <si>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</si>
  <si>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</si>
  <si>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</si>
  <si>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</si>
  <si>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</si>
  <si>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</si>
  <si>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</si>
  <si>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</si>
  <si>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</si>
  <si>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</si>
  <si>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</si>
  <si>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</si>
  <si>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</si>
  <si>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</si>
  <si>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</si>
  <si>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</si>
  <si>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</si>
  <si>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</si>
  <si>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</si>
  <si>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</si>
  <si>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</si>
  <si>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</si>
  <si>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</si>
  <si>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</si>
  <si>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</si>
  <si>
    <t>Diciembre_ac</t>
  </si>
  <si>
    <t>2025</t>
  </si>
  <si>
    <t>43091</t>
  </si>
  <si>
    <t>43001</t>
  </si>
  <si>
    <t>43002</t>
  </si>
  <si>
    <t>43008</t>
  </si>
  <si>
    <t>43042</t>
  </si>
  <si>
    <t>43092</t>
  </si>
  <si>
    <t>43101</t>
  </si>
  <si>
    <t>Abril_ac</t>
  </si>
  <si>
    <t>2026</t>
  </si>
  <si>
    <t>Marzo(Mes)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</si>
</sst>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1" formatCode="_-* #,##0_-;\-* #,##0_-;_-* &quot;-&quot;_-;_-@_-"/>
    <numFmt numFmtId="43" formatCode="_-* #,##0.00_-;\-* #,##0.00_-;_-* &quot;-&quot;??_-;_-@_-"/>
    <numFmt numFmtId="164" formatCode="_-* #,##0.00\ _€_-;\-* #,##0.00\ _€_-;_-* &quot;-&quot;??\ _€_-;_-@_-"/>
    <numFmt numFmtId="165" formatCode="_-* #,##0\ _€_-;\-* #,##0\ _€_-;_-* &quot;-&quot;\ _€_-;_-@_-"/>
    <numFmt numFmtId="166" formatCode="_-* #,##0_-;\-* #,##0_-;_-* &quot;-&quot;??_-;_-@_-"/>
    <numFmt numFmtId="167" formatCode="#,##0.0"/>
    <numFmt numFmtId="169" formatCode="_ * #,##0.00_ ;_ * \-#,##0.00_ ;_ * &quot;-&quot;??_ ;_ @_ "/>
    <numFmt numFmtId="170" formatCode="_ * #,##0_ ;_ * \-#,##0_ ;_ * &quot;-&quot;_ ;_ @_ "/>
    <numFmt numFmtId="172" formatCode="_-* #,##0.0000_-;\-* #,##0.0000_-;_-* &quot;-&quot;??_-;_-@_-"/>
    <numFmt numFmtId="173" formatCode="_-* #,##0.0_-;\-* #,##0.0_-;_-* &quot;-&quot;??_-;_-@_-"/>
    <numFmt numFmtId="174" formatCode="_-* #,##0.00\ [$€-1]_-;\-* #,##0.00\ [$€-1]_-;_-* &quot;-&quot;??\ [$€-1]_-"/>
    <numFmt numFmtId="175" formatCode="_-* #,##0.00\ _p_t_a_-;\-* #,##0.00\ _p_t_a_-;_-* \-??\ _p_t_a_-;_-@_-"/>
    <numFmt numFmtId="176" formatCode="_-* #,##0.00&quot; pta&quot;_-;\-* #,##0.00&quot; pta&quot;_-;_-* \-??&quot; pta&quot;_-;_-@_-"/>
    <numFmt numFmtId="177" formatCode="_-* #,##0.000_-;\-* #,##0.000_-;_-* &quot;-&quot;??_-;_-@_-"/>
  </numFmts>
  <fonts count="55" x14ac:knownFonts="1">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sz val="9"/>
      <color indexed="81"/>
      <name val="Tahoma"/>
      <family val="2"/>
    </font>
    <font>
      <b/>
      <sz val="10"/>
      <color rgb="FF1F497D"/>
      <name val="Arial"/>
      <family val="2"/>
    </font>
    <font>
      <b/>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1"/>
      <color indexed="8"/>
      <name val="Calibri"/>
      <family val="2"/>
    </font>
    <font>
      <sz val="11"/>
      <color indexed="9"/>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10"/>
      <name val="Calibri"/>
      <family val="2"/>
    </font>
    <font>
      <sz val="11"/>
      <color indexed="52"/>
      <name val="Calibri"/>
      <family val="2"/>
    </font>
    <font>
      <b/>
      <sz val="11"/>
      <color indexed="62"/>
      <name val="Calibri"/>
      <family val="2"/>
    </font>
    <font>
      <b/>
      <sz val="11"/>
      <color indexed="56"/>
      <name val="Calibri"/>
      <family val="2"/>
    </font>
    <font>
      <sz val="11"/>
      <color indexed="62"/>
      <name val="Calibri"/>
      <family val="2"/>
    </font>
    <font>
      <sz val="11"/>
      <color indexed="20"/>
      <name val="Calibri"/>
      <family val="2"/>
    </font>
    <font>
      <sz val="10"/>
      <name val="Tahoma"/>
      <family val="2"/>
    </font>
    <font>
      <sz val="11"/>
      <color indexed="19"/>
      <name val="Calibri"/>
      <family val="2"/>
    </font>
    <font>
      <sz val="11"/>
      <color indexed="60"/>
      <name val="Calibri"/>
      <family val="2"/>
    </font>
    <font>
      <sz val="11"/>
      <color theme="1"/>
      <name val="Segoe U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3"/>
      <color indexed="56"/>
      <name val="Calibri"/>
      <family val="2"/>
    </font>
    <font>
      <b/>
      <sz val="18"/>
      <color indexed="62"/>
      <name val="Cambria"/>
      <family val="2"/>
    </font>
    <font>
      <b/>
      <sz val="18"/>
      <color indexed="56"/>
      <name val="Cambria"/>
      <family val="2"/>
    </font>
    <font>
      <b/>
      <sz val="11"/>
      <color indexed="8"/>
      <name val="Calibri"/>
      <family val="2"/>
    </font>
  </fonts>
  <fills count="83">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CF1AE"/>
        <bgColor indexed="64"/>
      </patternFill>
    </fill>
    <fill>
      <patternFill patternType="solid">
        <fgColor theme="8" tint="0.59999389629810485"/>
        <bgColor indexed="64"/>
      </patternFill>
    </fill>
    <fill>
      <patternFill patternType="solid">
        <fgColor indexed="44"/>
        <bgColor indexed="31"/>
      </patternFill>
    </fill>
    <fill>
      <patternFill patternType="solid">
        <fgColor indexed="44"/>
      </patternFill>
    </fill>
    <fill>
      <patternFill patternType="solid">
        <fgColor indexed="31"/>
      </patternFill>
    </fill>
    <fill>
      <patternFill patternType="solid">
        <fgColor indexed="29"/>
        <bgColor indexed="45"/>
      </patternFill>
    </fill>
    <fill>
      <patternFill patternType="solid">
        <fgColor indexed="29"/>
      </patternFill>
    </fill>
    <fill>
      <patternFill patternType="solid">
        <fgColor indexed="45"/>
      </patternFill>
    </fill>
    <fill>
      <patternFill patternType="solid">
        <fgColor indexed="26"/>
        <bgColor indexed="9"/>
      </patternFill>
    </fill>
    <fill>
      <patternFill patternType="solid">
        <fgColor indexed="26"/>
      </patternFill>
    </fill>
    <fill>
      <patternFill patternType="solid">
        <fgColor indexed="42"/>
      </patternFill>
    </fill>
    <fill>
      <patternFill patternType="solid">
        <fgColor indexed="22"/>
        <bgColor indexed="31"/>
      </patternFill>
    </fill>
    <fill>
      <patternFill patternType="solid">
        <fgColor indexed="22"/>
      </patternFill>
    </fill>
    <fill>
      <patternFill patternType="solid">
        <fgColor indexed="46"/>
      </patternFill>
    </fill>
    <fill>
      <patternFill patternType="solid">
        <fgColor indexed="27"/>
        <bgColor indexed="42"/>
      </patternFill>
    </fill>
    <fill>
      <patternFill patternType="solid">
        <fgColor indexed="47"/>
      </patternFill>
    </fill>
    <fill>
      <patternFill patternType="solid">
        <fgColor indexed="27"/>
      </patternFill>
    </fill>
    <fill>
      <patternFill patternType="solid">
        <fgColor indexed="43"/>
        <bgColor indexed="26"/>
      </patternFill>
    </fill>
    <fill>
      <patternFill patternType="solid">
        <fgColor indexed="43"/>
      </patternFill>
    </fill>
    <fill>
      <patternFill patternType="solid">
        <fgColor indexed="11"/>
      </patternFill>
    </fill>
    <fill>
      <patternFill patternType="solid">
        <fgColor indexed="45"/>
        <bgColor indexed="29"/>
      </patternFill>
    </fill>
    <fill>
      <patternFill patternType="solid">
        <fgColor indexed="51"/>
      </patternFill>
    </fill>
    <fill>
      <patternFill patternType="solid">
        <fgColor indexed="30"/>
      </patternFill>
    </fill>
    <fill>
      <patternFill patternType="solid">
        <fgColor indexed="53"/>
        <bgColor indexed="29"/>
      </patternFill>
    </fill>
    <fill>
      <patternFill patternType="solid">
        <fgColor indexed="53"/>
      </patternFill>
    </fill>
    <fill>
      <patternFill patternType="solid">
        <fgColor indexed="34"/>
        <bgColor indexed="13"/>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26"/>
      </patternFill>
    </fill>
    <fill>
      <patternFill patternType="solid">
        <fgColor indexed="9"/>
      </patternFill>
    </fill>
    <fill>
      <patternFill patternType="solid">
        <fgColor indexed="55"/>
        <bgColor indexed="23"/>
      </patternFill>
    </fill>
    <fill>
      <patternFill patternType="solid">
        <fgColor indexed="56"/>
        <bgColor indexed="6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bgColor indexed="23"/>
      </patternFill>
    </fill>
    <fill>
      <patternFill patternType="solid">
        <fgColor indexed="54"/>
      </patternFill>
    </fill>
    <fill>
      <patternFill patternType="solid">
        <fgColor indexed="49"/>
        <bgColor indexed="40"/>
      </patternFill>
    </fill>
    <fill>
      <patternFill patternType="solid">
        <fgColor indexed="10"/>
        <bgColor indexed="16"/>
      </patternFill>
    </fill>
    <fill>
      <patternFill patternType="solid">
        <fgColor indexed="46"/>
        <bgColor indexed="31"/>
      </patternFill>
    </fill>
    <fill>
      <patternFill patternType="solid">
        <fgColor theme="4" tint="0.59999389629810485"/>
        <bgColor indexed="64"/>
      </patternFill>
    </fill>
    <fill>
      <patternFill patternType="solid">
        <fgColor theme="2" tint="-9.9978637043366805E-2"/>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s>
  <cellStyleXfs count="269">
    <xf numFmtId="0" fontId="0"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 fontId="3" fillId="0" borderId="0"/>
    <xf numFmtId="0" fontId="2" fillId="0" borderId="1" applyNumberFormat="0" applyFill="0" applyAlignment="0" applyProtection="0"/>
    <xf numFmtId="0" fontId="15" fillId="0" borderId="0" applyNumberFormat="0" applyFill="0" applyBorder="0" applyAlignment="0" applyProtection="0"/>
    <xf numFmtId="0" fontId="2" fillId="0" borderId="1" applyNumberFormat="0" applyFill="0" applyAlignment="0" applyProtection="0"/>
    <xf numFmtId="0" fontId="16" fillId="0" borderId="10" applyNumberFormat="0" applyFill="0" applyAlignment="0" applyProtection="0"/>
    <xf numFmtId="0" fontId="17" fillId="0" borderId="11" applyNumberFormat="0" applyFill="0" applyAlignment="0" applyProtection="0"/>
    <xf numFmtId="0" fontId="17" fillId="0" borderId="0" applyNumberFormat="0" applyFill="0" applyBorder="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0" applyNumberFormat="0" applyBorder="0" applyAlignment="0" applyProtection="0"/>
    <xf numFmtId="0" fontId="21" fillId="11" borderId="12" applyNumberFormat="0" applyAlignment="0" applyProtection="0"/>
    <xf numFmtId="0" fontId="22" fillId="12" borderId="13" applyNumberFormat="0" applyAlignment="0" applyProtection="0"/>
    <xf numFmtId="0" fontId="23" fillId="12" borderId="12" applyNumberFormat="0" applyAlignment="0" applyProtection="0"/>
    <xf numFmtId="0" fontId="24" fillId="0" borderId="14" applyNumberFormat="0" applyFill="0" applyAlignment="0" applyProtection="0"/>
    <xf numFmtId="0" fontId="25" fillId="13" borderId="15" applyNumberFormat="0" applyAlignment="0" applyProtection="0"/>
    <xf numFmtId="0" fontId="26" fillId="0" borderId="0" applyNumberFormat="0" applyFill="0" applyBorder="0" applyAlignment="0" applyProtection="0"/>
    <xf numFmtId="0" fontId="1" fillId="14" borderId="16" applyNumberFormat="0" applyFont="0" applyAlignment="0" applyProtection="0"/>
    <xf numFmtId="0" fontId="27" fillId="0" borderId="0" applyNumberFormat="0" applyFill="0" applyBorder="0" applyAlignment="0" applyProtection="0"/>
    <xf numFmtId="0" fontId="14" fillId="0" borderId="17" applyNumberFormat="0" applyFill="0" applyAlignment="0" applyProtection="0"/>
    <xf numFmtId="0" fontId="2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28"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 fillId="0" borderId="0"/>
    <xf numFmtId="169"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41"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5"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4" borderId="0" applyNumberFormat="0" applyBorder="0" applyAlignment="0" applyProtection="0"/>
    <xf numFmtId="0" fontId="31" fillId="53" borderId="0" applyNumberFormat="0" applyBorder="0" applyAlignment="0" applyProtection="0"/>
    <xf numFmtId="0" fontId="31" fillId="55" borderId="0" applyNumberFormat="0" applyBorder="0" applyAlignment="0" applyProtection="0"/>
    <xf numFmtId="0" fontId="31" fillId="42" borderId="0" applyNumberFormat="0" applyBorder="0" applyAlignment="0" applyProtection="0"/>
    <xf numFmtId="0" fontId="31" fillId="44" borderId="0" applyNumberFormat="0" applyBorder="0" applyAlignment="0" applyProtection="0"/>
    <xf numFmtId="0" fontId="31" fillId="56"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xf numFmtId="0" fontId="31" fillId="59" borderId="0" applyNumberFormat="0" applyBorder="0" applyAlignment="0" applyProtection="0"/>
    <xf numFmtId="0" fontId="31" fillId="46"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55" borderId="0" applyNumberFormat="0" applyBorder="0" applyAlignment="0" applyProtection="0"/>
    <xf numFmtId="0" fontId="31" fillId="42"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60" borderId="0" applyNumberFormat="0" applyBorder="0" applyAlignment="0" applyProtection="0"/>
    <xf numFmtId="0" fontId="32" fillId="53" borderId="0" applyNumberFormat="0" applyBorder="0" applyAlignment="0" applyProtection="0"/>
    <xf numFmtId="0" fontId="32" fillId="55" borderId="0" applyNumberFormat="0" applyBorder="0" applyAlignment="0" applyProtection="0"/>
    <xf numFmtId="0" fontId="32" fillId="61" borderId="0" applyNumberFormat="0" applyBorder="0" applyAlignment="0" applyProtection="0"/>
    <xf numFmtId="0" fontId="32" fillId="62" borderId="0" applyNumberFormat="0" applyBorder="0" applyAlignment="0" applyProtection="0"/>
    <xf numFmtId="0" fontId="32" fillId="63" borderId="0" applyNumberFormat="0" applyBorder="0" applyAlignment="0" applyProtection="0"/>
    <xf numFmtId="0" fontId="32" fillId="45" borderId="0" applyNumberFormat="0" applyBorder="0" applyAlignment="0" applyProtection="0"/>
    <xf numFmtId="0" fontId="32" fillId="64" borderId="0" applyNumberFormat="0" applyBorder="0" applyAlignment="0" applyProtection="0"/>
    <xf numFmtId="0" fontId="32" fillId="60" borderId="0" applyNumberFormat="0" applyBorder="0" applyAlignment="0" applyProtection="0"/>
    <xf numFmtId="0" fontId="32" fillId="58" borderId="0" applyNumberFormat="0" applyBorder="0" applyAlignment="0" applyProtection="0"/>
    <xf numFmtId="0" fontId="32" fillId="59" borderId="0" applyNumberFormat="0" applyBorder="0" applyAlignment="0" applyProtection="0"/>
    <xf numFmtId="0" fontId="32" fillId="46" borderId="0" applyNumberFormat="0" applyBorder="0" applyAlignment="0" applyProtection="0"/>
    <xf numFmtId="0" fontId="32" fillId="65" borderId="0" applyNumberFormat="0" applyBorder="0" applyAlignment="0" applyProtection="0"/>
    <xf numFmtId="0" fontId="32" fillId="53" borderId="0" applyNumberFormat="0" applyBorder="0" applyAlignment="0" applyProtection="0"/>
    <xf numFmtId="0" fontId="32" fillId="55" borderId="0" applyNumberFormat="0" applyBorder="0" applyAlignment="0" applyProtection="0"/>
    <xf numFmtId="0" fontId="32" fillId="66" borderId="0" applyNumberFormat="0" applyBorder="0" applyAlignment="0" applyProtection="0"/>
    <xf numFmtId="0" fontId="32" fillId="44" borderId="0" applyNumberFormat="0" applyBorder="0" applyAlignment="0" applyProtection="0"/>
    <xf numFmtId="0" fontId="32" fillId="45" borderId="0" applyNumberFormat="0" applyBorder="0" applyAlignment="0" applyProtection="0"/>
    <xf numFmtId="0" fontId="32" fillId="67" borderId="0" applyNumberFormat="0" applyBorder="0" applyAlignment="0" applyProtection="0"/>
    <xf numFmtId="0" fontId="18" fillId="8" borderId="0" applyNumberFormat="0" applyBorder="0" applyAlignment="0" applyProtection="0"/>
    <xf numFmtId="0" fontId="33" fillId="53" borderId="0" applyNumberFormat="0" applyBorder="0" applyAlignment="0" applyProtection="0"/>
    <xf numFmtId="0" fontId="33" fillId="55" borderId="0" applyNumberFormat="0" applyBorder="0" applyAlignment="0" applyProtection="0"/>
    <xf numFmtId="0" fontId="33" fillId="49" borderId="0" applyNumberFormat="0" applyBorder="0" applyAlignment="0" applyProtection="0"/>
    <xf numFmtId="0" fontId="34" fillId="68" borderId="18" applyNumberFormat="0" applyAlignment="0" applyProtection="0"/>
    <xf numFmtId="0" fontId="34" fillId="69" borderId="18" applyNumberFormat="0" applyAlignment="0" applyProtection="0"/>
    <xf numFmtId="0" fontId="35" fillId="51" borderId="18" applyNumberFormat="0" applyAlignment="0" applyProtection="0"/>
    <xf numFmtId="0" fontId="36" fillId="70" borderId="19" applyNumberFormat="0" applyAlignment="0" applyProtection="0"/>
    <xf numFmtId="0" fontId="37" fillId="0" borderId="20" applyNumberFormat="0" applyFill="0" applyAlignment="0" applyProtection="0"/>
    <xf numFmtId="0" fontId="37" fillId="0" borderId="20" applyNumberFormat="0" applyFill="0" applyAlignment="0" applyProtection="0"/>
    <xf numFmtId="0" fontId="38" fillId="0" borderId="21"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32" fillId="71" borderId="0" applyNumberFormat="0" applyBorder="0" applyAlignment="0" applyProtection="0"/>
    <xf numFmtId="0" fontId="32" fillId="72" borderId="0" applyNumberFormat="0" applyBorder="0" applyAlignment="0" applyProtection="0"/>
    <xf numFmtId="0" fontId="32" fillId="73" borderId="0" applyNumberFormat="0" applyBorder="0" applyAlignment="0" applyProtection="0"/>
    <xf numFmtId="0" fontId="32" fillId="62" borderId="0" applyNumberFormat="0" applyBorder="0" applyAlignment="0" applyProtection="0"/>
    <xf numFmtId="0" fontId="32" fillId="63" borderId="0" applyNumberFormat="0" applyBorder="0" applyAlignment="0" applyProtection="0"/>
    <xf numFmtId="0" fontId="32" fillId="74" borderId="0" applyNumberFormat="0" applyBorder="0" applyAlignment="0" applyProtection="0"/>
    <xf numFmtId="0" fontId="32" fillId="64" borderId="0" applyNumberFormat="0" applyBorder="0" applyAlignment="0" applyProtection="0"/>
    <xf numFmtId="0" fontId="32" fillId="60" borderId="0" applyNumberFormat="0" applyBorder="0" applyAlignment="0" applyProtection="0"/>
    <xf numFmtId="0" fontId="32" fillId="75" borderId="0" applyNumberFormat="0" applyBorder="0" applyAlignment="0" applyProtection="0"/>
    <xf numFmtId="0" fontId="32" fillId="76" borderId="0" applyNumberFormat="0" applyBorder="0" applyAlignment="0" applyProtection="0"/>
    <xf numFmtId="0" fontId="32" fillId="77" borderId="0" applyNumberFormat="0" applyBorder="0" applyAlignment="0" applyProtection="0"/>
    <xf numFmtId="0" fontId="32" fillId="65" borderId="0" applyNumberFormat="0" applyBorder="0" applyAlignment="0" applyProtection="0"/>
    <xf numFmtId="0" fontId="32" fillId="78" borderId="0" applyNumberFormat="0" applyBorder="0" applyAlignment="0" applyProtection="0"/>
    <xf numFmtId="0" fontId="32" fillId="79" borderId="0" applyNumberFormat="0" applyBorder="0" applyAlignment="0" applyProtection="0"/>
    <xf numFmtId="0" fontId="32" fillId="74" borderId="0" applyNumberFormat="0" applyBorder="0" applyAlignment="0" applyProtection="0"/>
    <xf numFmtId="0" fontId="32" fillId="63" borderId="0" applyNumberFormat="0" applyBorder="0" applyAlignment="0" applyProtection="0"/>
    <xf numFmtId="0" fontId="41" fillId="56" borderId="18" applyNumberFormat="0" applyAlignment="0" applyProtection="0"/>
    <xf numFmtId="0" fontId="41" fillId="57" borderId="18" applyNumberFormat="0" applyAlignment="0" applyProtection="0"/>
    <xf numFmtId="0" fontId="41" fillId="54" borderId="18" applyNumberFormat="0" applyAlignment="0" applyProtection="0"/>
    <xf numFmtId="174" fontId="3" fillId="0" borderId="0" applyFont="0" applyFill="0" applyBorder="0" applyAlignment="0" applyProtection="0"/>
    <xf numFmtId="0" fontId="3" fillId="0" borderId="0" applyFill="0" applyBorder="0" applyAlignment="0" applyProtection="0"/>
    <xf numFmtId="0" fontId="3" fillId="0" borderId="0" applyFill="0" applyBorder="0" applyAlignment="0" applyProtection="0"/>
    <xf numFmtId="0" fontId="3" fillId="0" borderId="0" applyFill="0" applyBorder="0" applyAlignment="0" applyProtection="0"/>
    <xf numFmtId="0" fontId="3" fillId="0" borderId="0" applyFont="0" applyFill="0" applyBorder="0" applyAlignment="0" applyProtection="0"/>
    <xf numFmtId="0" fontId="42" fillId="80" borderId="0" applyNumberFormat="0" applyBorder="0" applyAlignment="0" applyProtection="0"/>
    <xf numFmtId="0" fontId="42" fillId="52" borderId="0" applyNumberFormat="0" applyBorder="0" applyAlignment="0" applyProtection="0"/>
    <xf numFmtId="0" fontId="42" fillId="46" borderId="0" applyNumberFormat="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5" fontId="3" fillId="0" borderId="0" applyFill="0" applyBorder="0" applyAlignment="0" applyProtection="0"/>
    <xf numFmtId="175" fontId="3" fillId="0" borderId="0" applyFill="0" applyBorder="0" applyAlignment="0" applyProtection="0"/>
    <xf numFmtId="175" fontId="3" fillId="0" borderId="0" applyFill="0" applyBorder="0" applyAlignment="0" applyProtection="0"/>
    <xf numFmtId="43" fontId="43" fillId="0" borderId="0" applyFont="0" applyFill="0" applyBorder="0" applyAlignment="0" applyProtection="0"/>
    <xf numFmtId="43" fontId="1" fillId="0" borderId="0" applyFont="0" applyFill="0" applyBorder="0" applyAlignment="0" applyProtection="0"/>
    <xf numFmtId="176" fontId="3" fillId="0" borderId="0" applyFill="0" applyBorder="0" applyAlignment="0" applyProtection="0"/>
    <xf numFmtId="176" fontId="3" fillId="0" borderId="0" applyFill="0" applyBorder="0" applyAlignment="0" applyProtection="0"/>
    <xf numFmtId="176" fontId="3" fillId="0" borderId="0" applyFill="0" applyBorder="0" applyAlignment="0" applyProtection="0"/>
    <xf numFmtId="0" fontId="44" fillId="56" borderId="0" applyNumberFormat="0" applyBorder="0" applyAlignment="0" applyProtection="0"/>
    <xf numFmtId="0" fontId="44" fillId="57" borderId="0" applyNumberFormat="0" applyBorder="0" applyAlignment="0" applyProtection="0"/>
    <xf numFmtId="0" fontId="45" fillId="57" borderId="0" applyNumberFormat="0" applyBorder="0" applyAlignment="0" applyProtection="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1" fillId="0" borderId="0"/>
    <xf numFmtId="1" fontId="3" fillId="0" borderId="0"/>
    <xf numFmtId="0" fontId="46" fillId="0" borderId="0"/>
    <xf numFmtId="0" fontId="1" fillId="0" borderId="0"/>
    <xf numFmtId="0" fontId="3" fillId="0" borderId="0"/>
    <xf numFmtId="1" fontId="3" fillId="0" borderId="0"/>
    <xf numFmtId="0" fontId="3" fillId="0" borderId="0"/>
    <xf numFmtId="0" fontId="1" fillId="0" borderId="0"/>
    <xf numFmtId="0" fontId="1" fillId="14" borderId="16" applyNumberFormat="0" applyFont="0" applyAlignment="0" applyProtection="0"/>
    <xf numFmtId="0" fontId="3" fillId="47" borderId="22" applyNumberFormat="0" applyAlignment="0" applyProtection="0"/>
    <xf numFmtId="0" fontId="3" fillId="47" borderId="22" applyNumberFormat="0" applyAlignment="0" applyProtection="0"/>
    <xf numFmtId="0" fontId="3" fillId="48" borderId="22" applyNumberFormat="0" applyFont="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1" fillId="0" borderId="0" applyFont="0" applyFill="0" applyBorder="0" applyAlignment="0" applyProtection="0"/>
    <xf numFmtId="0" fontId="47" fillId="68" borderId="23" applyNumberFormat="0" applyAlignment="0" applyProtection="0"/>
    <xf numFmtId="0" fontId="47" fillId="69" borderId="23" applyNumberFormat="0" applyAlignment="0" applyProtection="0"/>
    <xf numFmtId="0" fontId="47" fillId="51" borderId="23" applyNumberFormat="0" applyAlignment="0" applyProtection="0"/>
    <xf numFmtId="0" fontId="37" fillId="0" borderId="0" applyNumberFormat="0" applyFill="0" applyBorder="0" applyAlignment="0" applyProtection="0"/>
    <xf numFmtId="0" fontId="48" fillId="0" borderId="0" applyNumberFormat="0" applyFill="0" applyBorder="0" applyAlignment="0" applyProtection="0"/>
    <xf numFmtId="0" fontId="49" fillId="0" borderId="24" applyNumberFormat="0" applyFill="0" applyAlignment="0" applyProtection="0"/>
    <xf numFmtId="0" fontId="2" fillId="0" borderId="1" applyNumberFormat="0" applyFill="0" applyAlignment="0" applyProtection="0"/>
    <xf numFmtId="0" fontId="50" fillId="0" borderId="25" applyNumberFormat="0" applyFill="0" applyAlignment="0" applyProtection="0"/>
    <xf numFmtId="0" fontId="50" fillId="0" borderId="25" applyNumberFormat="0" applyFill="0" applyAlignment="0" applyProtection="0"/>
    <xf numFmtId="0" fontId="51" fillId="0" borderId="26" applyNumberFormat="0" applyFill="0" applyAlignment="0" applyProtection="0"/>
    <xf numFmtId="0" fontId="39" fillId="0" borderId="27"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4" fillId="0" borderId="29" applyNumberFormat="0" applyFill="0" applyAlignment="0" applyProtection="0"/>
    <xf numFmtId="0" fontId="54" fillId="0" borderId="29" applyNumberFormat="0" applyFill="0" applyAlignment="0" applyProtection="0"/>
    <xf numFmtId="0" fontId="54" fillId="0" borderId="30" applyNumberFormat="0" applyFill="0" applyAlignment="0" applyProtection="0"/>
    <xf numFmtId="164" fontId="1" fillId="0" borderId="0" applyFont="0" applyFill="0" applyBorder="0" applyAlignment="0" applyProtection="0"/>
  </cellStyleXfs>
  <cellXfs count="117">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43" fontId="7" fillId="6" borderId="6" xfId="1" applyFont="1" applyFill="1" applyBorder="1" applyAlignment="1" applyProtection="1">
      <alignment horizontal="right" vertical="center"/>
      <protection locked="0"/>
    </xf>
    <xf numFmtId="43"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43" fontId="7" fillId="0" borderId="7" xfId="3" quotePrefix="1" applyFont="1" applyFill="1" applyBorder="1" applyAlignment="1" applyProtection="1">
      <alignment horizontal="right" vertical="center"/>
      <protection locked="0"/>
    </xf>
    <xf numFmtId="43" fontId="7" fillId="0" borderId="7" xfId="3" quotePrefix="1" applyFont="1" applyBorder="1" applyAlignment="1" applyProtection="1">
      <alignment horizontal="right" vertical="center"/>
      <protection locked="0"/>
    </xf>
    <xf numFmtId="43"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43"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166" fontId="3" fillId="0" borderId="0" xfId="1" applyNumberFormat="1" applyFont="1" applyFill="1" applyAlignment="1" applyProtection="1">
      <alignment horizontal="right" vertical="center"/>
      <protection locked="0"/>
    </xf>
    <xf numFmtId="166" fontId="3" fillId="0" borderId="7" xfId="1" quotePrefix="1" applyNumberFormat="1" applyFont="1" applyFill="1" applyBorder="1" applyAlignment="1" applyProtection="1">
      <alignment horizontal="right" vertical="center"/>
      <protection locked="0"/>
    </xf>
    <xf numFmtId="43" fontId="0" fillId="0" borderId="0" xfId="1" applyFont="1"/>
    <xf numFmtId="4" fontId="3" fillId="0" borderId="0" xfId="0" applyNumberFormat="1" applyFont="1" applyProtection="1">
      <protection locked="0"/>
    </xf>
    <xf numFmtId="0" fontId="13"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43" fontId="10" fillId="7" borderId="7" xfId="3" applyFont="1" applyFill="1" applyBorder="1" applyAlignment="1" applyProtection="1">
      <alignment horizontal="right" vertical="center"/>
      <protection locked="0"/>
    </xf>
    <xf numFmtId="43" fontId="7" fillId="0" borderId="7" xfId="3" applyFont="1" applyFill="1" applyBorder="1" applyAlignment="1" applyProtection="1">
      <alignment horizontal="right" vertical="center"/>
      <protection locked="0"/>
    </xf>
    <xf numFmtId="43" fontId="3" fillId="0" borderId="0" xfId="1" applyFont="1" applyProtection="1">
      <protection locked="0"/>
    </xf>
    <xf numFmtId="43" fontId="3" fillId="0" borderId="0" xfId="0" applyNumberFormat="1" applyFont="1" applyProtection="1">
      <protection locked="0"/>
    </xf>
    <xf numFmtId="43"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4"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67" fontId="7" fillId="0" borderId="7" xfId="6" quotePrefix="1" applyNumberFormat="1" applyFont="1" applyBorder="1" applyAlignment="1" applyProtection="1">
      <alignment horizontal="right" vertical="center"/>
      <protection locked="0"/>
    </xf>
    <xf numFmtId="0" fontId="0" fillId="0" borderId="2" xfId="0" applyBorder="1" applyProtection="1">
      <protection locked="0"/>
    </xf>
    <xf numFmtId="43" fontId="0" fillId="0" borderId="2" xfId="1" applyFont="1" applyFill="1" applyBorder="1" applyProtection="1">
      <protection locked="0"/>
    </xf>
    <xf numFmtId="43" fontId="30" fillId="0" borderId="0" xfId="1" applyFont="1"/>
    <xf numFmtId="0" fontId="29" fillId="0" borderId="0" xfId="0" applyFont="1"/>
    <xf numFmtId="172" fontId="3" fillId="0" borderId="0" xfId="1" applyNumberFormat="1" applyFont="1" applyAlignment="1" applyProtection="1">
      <alignment horizontal="right" vertical="center"/>
      <protection locked="0"/>
    </xf>
    <xf numFmtId="43" fontId="0" fillId="0" borderId="2" xfId="1" applyFont="1" applyBorder="1" applyProtection="1">
      <protection locked="0"/>
    </xf>
    <xf numFmtId="43" fontId="14" fillId="0" borderId="2" xfId="1" applyFont="1" applyFill="1" applyBorder="1" applyProtection="1">
      <protection locked="0"/>
    </xf>
    <xf numFmtId="166" fontId="3" fillId="0" borderId="0" xfId="1" applyNumberFormat="1" applyFont="1" applyProtection="1">
      <protection locked="0"/>
    </xf>
    <xf numFmtId="43" fontId="3" fillId="0" borderId="7" xfId="1" quotePrefix="1" applyFont="1" applyFill="1" applyBorder="1" applyAlignment="1" applyProtection="1">
      <alignment horizontal="center" vertical="center"/>
      <protection locked="0"/>
    </xf>
    <xf numFmtId="172" fontId="3" fillId="0" borderId="7" xfId="1" quotePrefix="1" applyNumberFormat="1" applyFont="1" applyFill="1" applyBorder="1" applyAlignment="1" applyProtection="1">
      <alignment horizontal="center" vertical="center"/>
      <protection locked="0"/>
    </xf>
    <xf numFmtId="43" fontId="3" fillId="0" borderId="7" xfId="1" quotePrefix="1" applyFont="1" applyBorder="1" applyAlignment="1" applyProtection="1">
      <alignment horizontal="right" vertical="center"/>
      <protection locked="0"/>
    </xf>
    <xf numFmtId="43" fontId="7" fillId="4" borderId="9" xfId="1" applyFont="1" applyFill="1" applyBorder="1" applyAlignment="1" applyProtection="1">
      <alignment horizontal="right" vertical="center"/>
      <protection locked="0"/>
    </xf>
    <xf numFmtId="43" fontId="7" fillId="4" borderId="7" xfId="1" applyFont="1" applyFill="1" applyBorder="1" applyAlignment="1" applyProtection="1">
      <alignment horizontal="right" vertical="center"/>
      <protection locked="0"/>
    </xf>
    <xf numFmtId="43" fontId="29" fillId="0" borderId="0" xfId="1" applyFont="1"/>
    <xf numFmtId="43" fontId="7" fillId="0" borderId="0" xfId="1" applyFont="1" applyAlignment="1" applyProtection="1">
      <alignment horizontal="right" vertical="center"/>
      <protection locked="0"/>
    </xf>
    <xf numFmtId="43" fontId="7" fillId="0" borderId="7" xfId="1" quotePrefix="1" applyFont="1" applyFill="1" applyBorder="1" applyAlignment="1" applyProtection="1">
      <alignment horizontal="center" vertical="center"/>
      <protection locked="0"/>
    </xf>
    <xf numFmtId="43" fontId="7" fillId="0" borderId="7" xfId="1" quotePrefix="1" applyFont="1" applyBorder="1" applyAlignment="1" applyProtection="1">
      <alignment horizontal="right" vertical="center"/>
      <protection locked="0"/>
    </xf>
    <xf numFmtId="43" fontId="7" fillId="0" borderId="7" xfId="1" quotePrefix="1" applyFont="1" applyBorder="1" applyAlignment="1" applyProtection="1">
      <alignment horizontal="center" vertical="center"/>
      <protection locked="0"/>
    </xf>
    <xf numFmtId="43" fontId="14" fillId="39" borderId="2" xfId="1" applyFont="1" applyFill="1" applyBorder="1" applyProtection="1">
      <protection locked="0"/>
    </xf>
    <xf numFmtId="0" fontId="7" fillId="0" borderId="0" xfId="0" applyFont="1" applyProtection="1">
      <protection locked="0"/>
    </xf>
    <xf numFmtId="0" fontId="0" fillId="0" borderId="2" xfId="0" quotePrefix="1" applyBorder="1" applyProtection="1">
      <protection locked="0"/>
    </xf>
    <xf numFmtId="43" fontId="3" fillId="0" borderId="7" xfId="1" quotePrefix="1" applyFont="1" applyFill="1" applyBorder="1" applyAlignment="1" applyProtection="1">
      <alignment horizontal="center" vertical="center" wrapText="1"/>
      <protection locked="0"/>
    </xf>
    <xf numFmtId="164" fontId="1" fillId="0" borderId="2" xfId="268" applyFont="1" applyFill="1" applyBorder="1" applyProtection="1">
      <protection locked="0"/>
    </xf>
    <xf numFmtId="0" fontId="14" fillId="0" borderId="2" xfId="0" quotePrefix="1" applyFont="1" applyBorder="1" applyProtection="1">
      <protection locked="0"/>
    </xf>
    <xf numFmtId="0" fontId="14" fillId="0" borderId="2" xfId="0" applyFont="1" applyBorder="1" applyProtection="1">
      <protection locked="0"/>
    </xf>
    <xf numFmtId="0" fontId="14" fillId="0" borderId="0" xfId="0" applyFont="1"/>
    <xf numFmtId="43" fontId="14" fillId="0" borderId="0" xfId="1" applyFont="1" applyFill="1"/>
    <xf numFmtId="43" fontId="0" fillId="0" borderId="0" xfId="1" applyFont="1" applyFill="1"/>
    <xf numFmtId="43" fontId="30" fillId="0" borderId="0" xfId="1" applyFont="1" applyFill="1"/>
    <xf numFmtId="0" fontId="30" fillId="0" borderId="0" xfId="0" applyFont="1"/>
    <xf numFmtId="166" fontId="30" fillId="0" borderId="0" xfId="1" applyNumberFormat="1" applyFont="1" applyFill="1"/>
    <xf numFmtId="166" fontId="29" fillId="0" borderId="0" xfId="1" applyNumberFormat="1" applyFont="1" applyFill="1"/>
    <xf numFmtId="43" fontId="14" fillId="81" borderId="2" xfId="1" applyFont="1" applyFill="1" applyBorder="1" applyProtection="1">
      <protection locked="0"/>
    </xf>
    <xf numFmtId="43" fontId="14" fillId="40" borderId="2" xfId="1" applyFont="1" applyFill="1" applyBorder="1" applyProtection="1">
      <protection locked="0"/>
    </xf>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xf numFmtId="43" fontId="7" fillId="82" borderId="9" xfId="1" applyFont="1" applyFill="1" applyBorder="1" applyAlignment="1" applyProtection="1">
      <alignment horizontal="right" vertical="center"/>
      <protection locked="0"/>
    </xf>
    <xf numFmtId="0" fontId="3" fillId="82" borderId="0" xfId="0" applyFont="1" applyFill="1" applyAlignment="1" applyProtection="1">
      <alignment horizontal="center" vertical="center"/>
      <protection locked="0"/>
    </xf>
    <xf numFmtId="43" fontId="3" fillId="0" borderId="7" xfId="1" quotePrefix="1" applyFont="1" applyFill="1" applyBorder="1" applyAlignment="1" applyProtection="1">
      <alignment horizontal="right" vertical="center"/>
      <protection locked="0"/>
    </xf>
    <xf numFmtId="0" fontId="3" fillId="0" borderId="0" xfId="0" applyFont="1" applyFill="1" applyAlignment="1" applyProtection="1">
      <alignment horizontal="center" vertical="center"/>
      <protection locked="0"/>
    </xf>
    <xf numFmtId="43" fontId="3" fillId="0" borderId="0" xfId="1" applyFont="1" applyFill="1" applyAlignment="1" applyProtection="1">
      <alignment horizontal="right" vertical="center"/>
      <protection locked="0"/>
    </xf>
    <xf numFmtId="3" fontId="3" fillId="0" borderId="7" xfId="6" quotePrefix="1" applyNumberFormat="1" applyFill="1" applyBorder="1" applyAlignment="1" applyProtection="1">
      <alignment horizontal="center" vertical="center"/>
      <protection locked="0"/>
    </xf>
    <xf numFmtId="0" fontId="3" fillId="0" borderId="0" xfId="0" applyFont="1" applyFill="1" applyAlignment="1" applyProtection="1">
      <alignment horizontal="right" vertical="center"/>
      <protection locked="0"/>
    </xf>
    <xf numFmtId="3" fontId="7" fillId="0" borderId="7" xfId="6" quotePrefix="1" applyNumberFormat="1" applyFont="1" applyFill="1" applyBorder="1" applyAlignment="1" applyProtection="1">
      <alignment horizontal="right" vertical="center"/>
      <protection locked="0"/>
    </xf>
    <xf numFmtId="3" fontId="3" fillId="0" borderId="7" xfId="6" quotePrefix="1" applyNumberFormat="1" applyFill="1" applyBorder="1" applyAlignment="1" applyProtection="1">
      <alignment horizontal="right" vertical="center"/>
      <protection locked="0"/>
    </xf>
    <xf numFmtId="177" fontId="7" fillId="7" borderId="7" xfId="1" applyNumberFormat="1" applyFont="1" applyFill="1" applyBorder="1" applyAlignment="1" applyProtection="1">
      <alignment horizontal="right" vertical="center"/>
      <protection locked="0"/>
    </xf>
    <xf numFmtId="177" fontId="3" fillId="0" borderId="0" xfId="1" applyNumberFormat="1" applyFont="1" applyAlignment="1" applyProtection="1">
      <alignment horizontal="right" vertical="center"/>
      <protection locked="0"/>
    </xf>
    <xf numFmtId="173" fontId="10" fillId="7" borderId="7" xfId="1" applyNumberFormat="1" applyFont="1" applyFill="1" applyBorder="1" applyAlignment="1" applyProtection="1">
      <alignment horizontal="right" vertical="center"/>
      <protection locked="0"/>
    </xf>
    <xf numFmtId="173" fontId="3" fillId="0" borderId="0" xfId="1" applyNumberFormat="1" applyFont="1" applyAlignment="1" applyProtection="1">
      <alignment horizontal="right" vertical="center"/>
      <protection locked="0"/>
    </xf>
    <xf numFmtId="173" fontId="7" fillId="6" borderId="6" xfId="1" applyNumberFormat="1" applyFont="1" applyFill="1" applyBorder="1" applyAlignment="1" applyProtection="1">
      <alignment horizontal="right" vertical="center"/>
      <protection locked="0"/>
    </xf>
  </cellXfs>
  <cellStyles count="269">
    <cellStyle name="20% - Énfasis1" xfId="26" builtinId="30" customBuiltin="1"/>
    <cellStyle name="20% - Énfasis1 2" xfId="115" xr:uid="{528CBEC6-7F63-4C42-90DD-FC4C3CFE07FF}"/>
    <cellStyle name="20% - Énfasis1 3" xfId="116" xr:uid="{C6CD1693-E022-4A29-881B-FC3E7239673F}"/>
    <cellStyle name="20% - Énfasis1 4" xfId="117" xr:uid="{D07ECF82-2C66-4839-BE7E-60CB2DAB97E1}"/>
    <cellStyle name="20% - Énfasis2" xfId="30" builtinId="34" customBuiltin="1"/>
    <cellStyle name="20% - Énfasis2 2" xfId="118" xr:uid="{7BC8A485-5AA3-4AB3-B282-2D3E8F1DD2A9}"/>
    <cellStyle name="20% - Énfasis2 3" xfId="119" xr:uid="{C9188264-2B4A-4C14-9B90-C1C3F804BF8A}"/>
    <cellStyle name="20% - Énfasis2 4" xfId="120" xr:uid="{D84CFB94-D258-4100-A75C-AC7AD7CDBCDC}"/>
    <cellStyle name="20% - Énfasis3" xfId="34" builtinId="38" customBuiltin="1"/>
    <cellStyle name="20% - Énfasis3 2" xfId="121" xr:uid="{CEF4A677-5172-4F0D-986E-0D5D043C58E5}"/>
    <cellStyle name="20% - Énfasis3 3" xfId="122" xr:uid="{0FDA2A1A-32FE-4D72-BCFC-33527B4351E7}"/>
    <cellStyle name="20% - Énfasis3 4" xfId="123" xr:uid="{AE9BDAE0-B97E-4F87-8000-7D1F833C2122}"/>
    <cellStyle name="20% - Énfasis4" xfId="38" builtinId="42" customBuiltin="1"/>
    <cellStyle name="20% - Énfasis4 2" xfId="124" xr:uid="{A2A72F2D-9047-4D5D-ACBE-2EDC9E1E0166}"/>
    <cellStyle name="20% - Énfasis4 3" xfId="125" xr:uid="{84CF7A68-F122-44F5-9786-70609291777D}"/>
    <cellStyle name="20% - Énfasis4 4" xfId="126" xr:uid="{465CECE2-F35C-4B89-A64F-277C3BA83F37}"/>
    <cellStyle name="20% - Énfasis5" xfId="42" builtinId="46" customBuiltin="1"/>
    <cellStyle name="20% - Énfasis5 2" xfId="127" xr:uid="{A5D87B77-4044-4FED-8EC5-6D783C599E3C}"/>
    <cellStyle name="20% - Énfasis6" xfId="46" builtinId="50" customBuiltin="1"/>
    <cellStyle name="20% - Énfasis6 2" xfId="128" xr:uid="{F2765881-BB2B-42F0-B8A8-657433D18A1F}"/>
    <cellStyle name="20% - Énfasis6 3" xfId="129" xr:uid="{D6DCC18B-02B8-432A-8D63-136D1B720267}"/>
    <cellStyle name="20% - Énfasis6 4" xfId="130" xr:uid="{6BB635CB-25C6-4A3E-8DDF-6C6E9A3EEF85}"/>
    <cellStyle name="40% - Énfasis1" xfId="27" builtinId="31" customBuiltin="1"/>
    <cellStyle name="40% - Énfasis1 2" xfId="131" xr:uid="{FA48700D-A6A4-4A19-A163-7AC36EEF479E}"/>
    <cellStyle name="40% - Énfasis1 3" xfId="132" xr:uid="{08E9C0C3-5351-49F6-AA22-1E3A8CF0C808}"/>
    <cellStyle name="40% - Énfasis1 4" xfId="133" xr:uid="{ED1529E1-FF34-4A92-A0E6-9407C3F9027E}"/>
    <cellStyle name="40% - Énfasis2" xfId="31" builtinId="35" customBuiltin="1"/>
    <cellStyle name="40% - Énfasis2 2" xfId="134" xr:uid="{1AD93FBC-E973-46F9-9FB0-30BBB4EB571E}"/>
    <cellStyle name="40% - Énfasis3" xfId="35" builtinId="39" customBuiltin="1"/>
    <cellStyle name="40% - Énfasis3 2" xfId="135" xr:uid="{4AA8D52B-ECBE-478E-8EB8-819C7B66AAD0}"/>
    <cellStyle name="40% - Énfasis3 3" xfId="136" xr:uid="{27485ACE-A9EB-4923-9135-CA16BF2CF2F3}"/>
    <cellStyle name="40% - Énfasis3 4" xfId="137" xr:uid="{4D7D29E7-3695-4266-A6F0-E723237F1AA0}"/>
    <cellStyle name="40% - Énfasis4" xfId="39" builtinId="43" customBuiltin="1"/>
    <cellStyle name="40% - Énfasis4 2" xfId="138" xr:uid="{617EA588-AA26-42BF-BC79-D8A18D753162}"/>
    <cellStyle name="40% - Énfasis4 3" xfId="139" xr:uid="{3AADFEAC-2141-43E0-9C1A-2538701D185C}"/>
    <cellStyle name="40% - Énfasis4 4" xfId="140" xr:uid="{FAA445D9-0CA5-4B75-A469-6F29164802F4}"/>
    <cellStyle name="40% - Énfasis5" xfId="43" builtinId="47" customBuiltin="1"/>
    <cellStyle name="40% - Énfasis5 2" xfId="141" xr:uid="{100F9061-99F6-4F2E-87D3-2F211251D0F6}"/>
    <cellStyle name="40% - Énfasis5 3" xfId="142" xr:uid="{A0CEFC45-2A48-4343-9C77-A92A4C2EA948}"/>
    <cellStyle name="40% - Énfasis5 4" xfId="143" xr:uid="{860624B8-4DBB-430D-8A27-D60471F3C5FF}"/>
    <cellStyle name="40% - Énfasis6" xfId="47" builtinId="51" customBuiltin="1"/>
    <cellStyle name="40% - Énfasis6 2" xfId="144" xr:uid="{5B85CFB3-A520-48A0-AF09-B72EC0AD2FA1}"/>
    <cellStyle name="40% - Énfasis6 3" xfId="145" xr:uid="{2147C33E-891D-4B3D-BF08-E6D5D516BCC5}"/>
    <cellStyle name="40% - Énfasis6 4" xfId="146" xr:uid="{58EA8CC3-606D-4B24-8D82-F9245B9661D7}"/>
    <cellStyle name="60% - Énfasis1" xfId="28" builtinId="32" customBuiltin="1"/>
    <cellStyle name="60% - Énfasis1 2" xfId="147" xr:uid="{8B22C00D-64CF-4BE6-B56C-C451515CB1FE}"/>
    <cellStyle name="60% - Énfasis1 3" xfId="148" xr:uid="{EC68AC34-71F2-4658-9BFB-95F921F3CA53}"/>
    <cellStyle name="60% - Énfasis1 4" xfId="149" xr:uid="{F1BED25C-F89C-4CB1-B661-2B553B0BEFAB}"/>
    <cellStyle name="60% - Énfasis2" xfId="32" builtinId="36" customBuiltin="1"/>
    <cellStyle name="60% - Énfasis2 2" xfId="150" xr:uid="{5EF9446C-6A0F-4A29-AEA1-9E4D3A7190E8}"/>
    <cellStyle name="60% - Énfasis2 3" xfId="151" xr:uid="{DB7E281D-D824-4B76-805F-5F4BC76EC2BC}"/>
    <cellStyle name="60% - Énfasis2 4" xfId="152" xr:uid="{0DD05FAA-CA96-4A4C-8765-CBAF62F97E96}"/>
    <cellStyle name="60% - Énfasis3" xfId="36" builtinId="40" customBuiltin="1"/>
    <cellStyle name="60% - Énfasis3 2" xfId="153" xr:uid="{FD753B3A-9A95-4022-A6F6-53F0E0562759}"/>
    <cellStyle name="60% - Énfasis3 3" xfId="154" xr:uid="{235E0C42-E43B-4393-9FCC-1B0A9A61A8A7}"/>
    <cellStyle name="60% - Énfasis3 4" xfId="155" xr:uid="{7C0CBE3E-513C-4C06-8C1B-A4E0350D5B69}"/>
    <cellStyle name="60% - Énfasis4" xfId="40" builtinId="44" customBuiltin="1"/>
    <cellStyle name="60% - Énfasis4 2" xfId="156" xr:uid="{FA8F8E62-376B-48B6-8470-4A35D7A55705}"/>
    <cellStyle name="60% - Énfasis4 3" xfId="157" xr:uid="{A599A4EE-0E29-447B-9CE5-9ECC952DEDEB}"/>
    <cellStyle name="60% - Énfasis4 4" xfId="158" xr:uid="{B0AE6491-6A31-4DEB-BC17-A2C766502149}"/>
    <cellStyle name="60% - Énfasis5" xfId="44" builtinId="48" customBuiltin="1"/>
    <cellStyle name="60% - Énfasis5 2" xfId="159" xr:uid="{60E10DD2-08D4-4B3A-AFA6-45E294C8A490}"/>
    <cellStyle name="60% - Énfasis5 3" xfId="160" xr:uid="{D656B673-4FE0-4B8D-839D-143925C121C5}"/>
    <cellStyle name="60% - Énfasis5 4" xfId="161" xr:uid="{71FAB7C4-E70B-4646-89D9-F739AE90359C}"/>
    <cellStyle name="60% - Énfasis6" xfId="48" builtinId="52" customBuiltin="1"/>
    <cellStyle name="60% - Énfasis6 2" xfId="162" xr:uid="{DD4ECA67-68C7-487D-A699-77ADDED9409B}"/>
    <cellStyle name="60% - Énfasis6 3" xfId="163" xr:uid="{995EBB2B-0FFA-4BB7-A9DC-E77334312DCC}"/>
    <cellStyle name="60% - Énfasis6 4" xfId="164" xr:uid="{2DFBC4BE-DD5C-43CE-99C5-213FAED2E731}"/>
    <cellStyle name="Buena" xfId="165" xr:uid="{439035B2-CF8B-4C3E-A149-E0FB659C9BFA}"/>
    <cellStyle name="Buena 2" xfId="166" xr:uid="{ECC4517A-EC6A-4C42-876B-A92C176E5A04}"/>
    <cellStyle name="Buena 3" xfId="167" xr:uid="{633F1E3A-22C5-4813-9716-1CB25727BCB2}"/>
    <cellStyle name="Bueno" xfId="13" builtinId="26" customBuiltin="1"/>
    <cellStyle name="Bueno 2" xfId="168" xr:uid="{F6922F16-52B8-473A-B263-43B6AE9385CB}"/>
    <cellStyle name="Cálculo" xfId="18" builtinId="22" customBuiltin="1"/>
    <cellStyle name="Cálculo 2" xfId="169" xr:uid="{7835F847-9FC0-480D-9084-14511A52A244}"/>
    <cellStyle name="Cálculo 3" xfId="170" xr:uid="{97D3D8D6-AF86-4038-9EA1-6D55CA395B30}"/>
    <cellStyle name="Cálculo 4" xfId="171" xr:uid="{F1A1A8BC-62E9-42CE-A053-89301116A934}"/>
    <cellStyle name="Celda de comprobación" xfId="20" builtinId="23" customBuiltin="1"/>
    <cellStyle name="Celda de comprobación 2" xfId="172" xr:uid="{24C30708-E899-47DA-A371-CFE813E52D62}"/>
    <cellStyle name="Celda vinculada" xfId="19" builtinId="24" customBuiltin="1"/>
    <cellStyle name="Celda vinculada 2" xfId="173" xr:uid="{56963FD9-F72D-4A20-8243-E0EE1767428C}"/>
    <cellStyle name="Celda vinculada 3" xfId="174" xr:uid="{EC766F41-185E-4D0A-B607-AE8A49F73134}"/>
    <cellStyle name="Celda vinculada 4" xfId="175" xr:uid="{062C79A3-0AC9-433E-B470-75ECED17B137}"/>
    <cellStyle name="Encabezado 1" xfId="9" builtinId="16" customBuiltin="1"/>
    <cellStyle name="Encabezado 4" xfId="12" builtinId="19" customBuiltin="1"/>
    <cellStyle name="Encabezado 4 2" xfId="176" xr:uid="{9FB9230A-A18D-4834-90E9-0A5594328936}"/>
    <cellStyle name="Encabezado 4 3" xfId="177" xr:uid="{EFBD8652-6287-4D43-95D7-8AB75BB1E178}"/>
    <cellStyle name="Encabezado 4 4" xfId="178" xr:uid="{D0C18925-FA22-4BB2-8392-73E619E78E02}"/>
    <cellStyle name="Énfasis1" xfId="25" builtinId="29" customBuiltin="1"/>
    <cellStyle name="Énfasis1 2" xfId="179" xr:uid="{210438AE-0ECA-4A9B-9CD5-880D5A90C2A5}"/>
    <cellStyle name="Énfasis1 3" xfId="180" xr:uid="{CD72E7CD-412F-4EAD-AB95-714A5A03CF65}"/>
    <cellStyle name="Énfasis1 4" xfId="181" xr:uid="{908D8D5C-10E0-4089-A6C3-38D145642728}"/>
    <cellStyle name="Énfasis2" xfId="29" builtinId="33" customBuiltin="1"/>
    <cellStyle name="Énfasis2 2" xfId="182" xr:uid="{C948B3C8-DF34-44B1-ADA3-A6E07DAFC5DC}"/>
    <cellStyle name="Énfasis2 3" xfId="183" xr:uid="{6E18A448-A63F-4FC8-A5AE-317A4C0F5493}"/>
    <cellStyle name="Énfasis2 4" xfId="184" xr:uid="{9D79CF2A-C6F8-4615-8000-F28A78C6DA6A}"/>
    <cellStyle name="Énfasis3" xfId="33" builtinId="37" customBuiltin="1"/>
    <cellStyle name="Énfasis3 2" xfId="185" xr:uid="{A5E5E1C4-D76F-4BCC-B9C7-D8EB06E13A85}"/>
    <cellStyle name="Énfasis3 3" xfId="186" xr:uid="{149B203C-7511-4933-9ADA-777C18B1492C}"/>
    <cellStyle name="Énfasis3 4" xfId="187" xr:uid="{1EFBB4AB-BF5C-4F98-BB0F-2136FF9D409E}"/>
    <cellStyle name="Énfasis4" xfId="37" builtinId="41" customBuiltin="1"/>
    <cellStyle name="Énfasis4 2" xfId="188" xr:uid="{DF2EAAA5-DDF6-4092-99A9-C6541BF8C19B}"/>
    <cellStyle name="Énfasis4 3" xfId="189" xr:uid="{04EA1A5A-1CEF-4962-92A6-B714EEEA4323}"/>
    <cellStyle name="Énfasis4 4" xfId="190" xr:uid="{CC54C26A-3FF9-40F4-B1E9-EF00B9585908}"/>
    <cellStyle name="Énfasis5" xfId="41" builtinId="45" customBuiltin="1"/>
    <cellStyle name="Énfasis5 2" xfId="191" xr:uid="{44408DEF-5E91-4406-A46C-88DD46EF90BF}"/>
    <cellStyle name="Énfasis6" xfId="45" builtinId="49" customBuiltin="1"/>
    <cellStyle name="Énfasis6 2" xfId="192" xr:uid="{4428882A-F9E2-42CD-B27B-A11EED1BE5F6}"/>
    <cellStyle name="Énfasis6 3" xfId="193" xr:uid="{8C88E3E3-A7B4-486C-AB14-0D7A974687D3}"/>
    <cellStyle name="Énfasis6 4" xfId="194" xr:uid="{79DF61D3-088E-4E8E-8D1E-32C62AB73358}"/>
    <cellStyle name="Entrada" xfId="16" builtinId="20" customBuiltin="1"/>
    <cellStyle name="Entrada 2" xfId="195" xr:uid="{2878958B-7C5E-4A5A-AE9E-8C8CAC1CA061}"/>
    <cellStyle name="Entrada 3" xfId="196" xr:uid="{8F9F9D88-868E-4520-AD21-9EFC9FC34282}"/>
    <cellStyle name="Entrada 4" xfId="197" xr:uid="{9B87CD59-D3E0-43F6-9143-2656A77C330F}"/>
    <cellStyle name="Euro" xfId="198" xr:uid="{B8D8A2E1-7150-4A23-A183-448CA1B4D0D4}"/>
    <cellStyle name="Euro 2" xfId="199" xr:uid="{7CC2E981-A797-4B9B-82E9-B2358A6C704D}"/>
    <cellStyle name="Euro 2 2" xfId="200" xr:uid="{9ED0F2B9-C7FC-4817-841E-77686DE10905}"/>
    <cellStyle name="Euro 2_BCE" xfId="201" xr:uid="{E05A648E-D21C-48F4-914B-DAC2ECF3155D}"/>
    <cellStyle name="Euro_ALTAS Y BAJAS ACUMULADO" xfId="202" xr:uid="{714C22F0-E2C8-452A-B50A-A5B0CF043C76}"/>
    <cellStyle name="Incorrecto" xfId="14" builtinId="27" customBuiltin="1"/>
    <cellStyle name="Incorrecto 2" xfId="203" xr:uid="{5AB82A4B-9F3A-4473-95B9-7B51301F83CC}"/>
    <cellStyle name="Incorrecto 3" xfId="204" xr:uid="{CCCC25BE-C916-4F34-9766-BA7729065128}"/>
    <cellStyle name="Incorrecto 4" xfId="205" xr:uid="{45CC68A3-2B32-47EF-8025-13773D17B1BB}"/>
    <cellStyle name="Millares" xfId="1" builtinId="3"/>
    <cellStyle name="Millares [0] 2" xfId="2" xr:uid="{8CCB4468-2910-44DE-99A2-86530D6D4DAF}"/>
    <cellStyle name="Millares [0] 2 2" xfId="68" xr:uid="{BC125E41-C8BE-45D7-BCE1-42A16F1D71BF}"/>
    <cellStyle name="Millares [0] 2_Hoja1" xfId="206" xr:uid="{2874ED60-119D-4BEA-8C1C-BA18E663877B}"/>
    <cellStyle name="Millares [0] 3" xfId="64" xr:uid="{63264F82-3190-4726-B04A-825EC702727F}"/>
    <cellStyle name="Millares [0] 4" xfId="207" xr:uid="{AB4894D4-4728-4658-9B1D-93F3022A6763}"/>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2 2" xfId="208" xr:uid="{D5F227DF-57CD-41F5-AA4C-44FE0838394C}"/>
    <cellStyle name="Millares 2 2 3" xfId="209" xr:uid="{4CEB823D-E10F-4B03-BFF9-34AC4CE0ECA5}"/>
    <cellStyle name="Millares 2 2_Hoja1" xfId="210" xr:uid="{55639E41-9B5E-44AA-8CFA-FC0A1F59109F}"/>
    <cellStyle name="Millares 2 3" xfId="65" xr:uid="{699AACCF-6946-4508-B29D-EFD09F664AA6}"/>
    <cellStyle name="Millares 2 4" xfId="50" xr:uid="{C1D93BE9-1FEA-4AF9-8F63-7B86CF4379BA}"/>
    <cellStyle name="Millares 2_BCE" xfId="211" xr:uid="{717AF84B-4927-46C0-965D-07D5DAA1A631}"/>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_ESTRUC" xfId="212" xr:uid="{6A2893B1-B8BC-4D21-90CB-9253A11B5239}"/>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_Hoja1" xfId="213" xr:uid="{A5DC3121-CF3A-45E9-92B8-B8A02C9D1FEE}"/>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Millares_FOCUS" xfId="268" xr:uid="{7C9EAF25-C369-4F2A-A2A8-790E920AA9FA}"/>
    <cellStyle name="Moneda 2" xfId="214" xr:uid="{1BE4DEF8-DF3C-4631-95F8-CD7DA877FE35}"/>
    <cellStyle name="Moneda 2 2" xfId="215" xr:uid="{665487FB-BFB6-4D77-85F7-5CD508B4D9D1}"/>
    <cellStyle name="Moneda 2_BCE" xfId="216" xr:uid="{809C8658-9768-4C50-822C-36CDAE39E376}"/>
    <cellStyle name="Neutral" xfId="15" builtinId="28" customBuiltin="1"/>
    <cellStyle name="Neutral 2" xfId="217" xr:uid="{4B2DA444-85CB-4E58-838C-42FFDF0A2071}"/>
    <cellStyle name="Neutral 3" xfId="218" xr:uid="{D98DC192-24EB-44F5-AFB7-2D062A6CA5D3}"/>
    <cellStyle name="Neutral 4" xfId="219" xr:uid="{15C4AB48-A24B-4B71-9E66-8DE3CEA9BB48}"/>
    <cellStyle name="Normal" xfId="0" builtinId="0"/>
    <cellStyle name="Normal 10" xfId="220" xr:uid="{9BAD658B-9C1B-4F20-B12C-F49D4BF6F30E}"/>
    <cellStyle name="Normal 11" xfId="221" xr:uid="{13F9B9E3-E415-4C98-9924-8C9EA72B7701}"/>
    <cellStyle name="Normal 12" xfId="222" xr:uid="{40A362D1-B053-4C8D-AB35-D2E2191D6DF1}"/>
    <cellStyle name="Normal 2" xfId="6" xr:uid="{2DD6E384-70EC-4A22-8A93-CF688F2689CE}"/>
    <cellStyle name="Normal 2 2" xfId="66" xr:uid="{2C7EF46E-6287-4C68-AAEE-2F9A8E405284}"/>
    <cellStyle name="Normal 2 2 2" xfId="223" xr:uid="{1B0BAFFF-35FC-4FA8-852B-80EADBACB1E6}"/>
    <cellStyle name="Normal 2 2_BCE" xfId="224" xr:uid="{81A00104-59FF-45F1-B0BB-514ADCF34E19}"/>
    <cellStyle name="Normal 2 3" xfId="225" xr:uid="{1A39BF9E-5550-44DF-B110-DACEE3F20F7D}"/>
    <cellStyle name="Normal 2_BCE" xfId="226" xr:uid="{A23C7C59-4CFA-41B5-98FC-D06E096997AF}"/>
    <cellStyle name="Normal 3" xfId="227" xr:uid="{BC6F88AE-68FA-4957-8D35-484B3DE96CAD}"/>
    <cellStyle name="Normal 3 2" xfId="228" xr:uid="{91603D30-5303-4F8B-B06F-3E192AADD776}"/>
    <cellStyle name="Normal 3_BCE" xfId="229" xr:uid="{C9AAE976-CD70-405B-8FAC-F73059C24065}"/>
    <cellStyle name="Normal 4" xfId="230" xr:uid="{01267683-840B-4C54-A3BD-D834A117A994}"/>
    <cellStyle name="Normal 5" xfId="231" xr:uid="{5E3AC171-B470-4343-9C3C-77827C26864B}"/>
    <cellStyle name="Normal 6" xfId="232" xr:uid="{40B59E18-1557-4108-99FB-BC876D8A5EEE}"/>
    <cellStyle name="Normal 7" xfId="233" xr:uid="{65836815-A6B9-4B25-BA37-45BDB365B6D6}"/>
    <cellStyle name="Normal 8" xfId="234" xr:uid="{616504E5-2B74-41BB-A710-AE954F6FD9B1}"/>
    <cellStyle name="Normal 8 2" xfId="235" xr:uid="{19B2D0DD-B836-4795-9717-1F463D96B9E1}"/>
    <cellStyle name="Normal 9" xfId="236" xr:uid="{9895CA91-53DD-4CA4-BB99-C1AB325222C8}"/>
    <cellStyle name="Normal 9 2" xfId="237" xr:uid="{19B31110-3C82-4468-A8FD-D39C4B6FAAFC}"/>
    <cellStyle name="Notas" xfId="22" builtinId="10" customBuiltin="1"/>
    <cellStyle name="Notas 2" xfId="238" xr:uid="{D236D88D-9E3A-4595-AE98-CE379B643031}"/>
    <cellStyle name="Notas 2 2" xfId="239" xr:uid="{5EE88C0C-2B64-459A-93D0-B6091FB1EC3A}"/>
    <cellStyle name="Notas 2_BCE" xfId="240" xr:uid="{80C808F1-840F-46F3-B0D6-447179797E45}"/>
    <cellStyle name="Notas 3" xfId="241" xr:uid="{C5054E49-B5F9-4696-AEF1-6BDBDB742AAE}"/>
    <cellStyle name="Porcentaje 2" xfId="242" xr:uid="{DB227741-50F6-4F20-8021-9E8D3E69AB3C}"/>
    <cellStyle name="Porcentaje 3" xfId="243" xr:uid="{713C5E43-5301-49B6-AC94-9E813D814CDE}"/>
    <cellStyle name="Porcentaje 4" xfId="244" xr:uid="{6143AADF-A5C7-47A0-81C8-A1C4C71A7DD4}"/>
    <cellStyle name="Porcentual 2" xfId="245" xr:uid="{006AC4B4-0E02-4003-84D1-C4F6A3C33B82}"/>
    <cellStyle name="Porcentual 3" xfId="246" xr:uid="{96CDCC4E-DB58-4D6B-93C2-960D9DA82B13}"/>
    <cellStyle name="Salida" xfId="17" builtinId="21" customBuiltin="1"/>
    <cellStyle name="Salida 2" xfId="247" xr:uid="{45A174DA-D0D4-4FA2-A23D-090F260CCBD1}"/>
    <cellStyle name="Salida 3" xfId="248" xr:uid="{733C748F-2369-4190-BE58-7D85709513CF}"/>
    <cellStyle name="Salida 4" xfId="249" xr:uid="{9C2D6731-3E76-40A7-AA19-43F45B5D486F}"/>
    <cellStyle name="Texto de advertencia" xfId="21" builtinId="11" customBuiltin="1"/>
    <cellStyle name="Texto de advertencia 2" xfId="250" xr:uid="{D5BF62FC-3EAF-4B02-9E22-384979C608CE}"/>
    <cellStyle name="Texto explicativo" xfId="23" builtinId="53" customBuiltin="1"/>
    <cellStyle name="Texto explicativo 2" xfId="251" xr:uid="{BE62C985-0C18-48F6-8465-1E9C5A0F7774}"/>
    <cellStyle name="Título" xfId="8" builtinId="15" customBuiltin="1"/>
    <cellStyle name="Título 1" xfId="7" xr:uid="{7007496C-A1DE-47C1-A7EF-F02654C487FA}"/>
    <cellStyle name="Título 1 2" xfId="252" xr:uid="{B095DBC4-47CB-461E-BC85-715E736D4A14}"/>
    <cellStyle name="Título 1 3" xfId="253" xr:uid="{7C5E2F63-58CA-4F86-8422-3939E8F552B3}"/>
    <cellStyle name="Título 2" xfId="10" builtinId="17" customBuiltin="1"/>
    <cellStyle name="Título 2 2" xfId="254" xr:uid="{0C920DC9-A2DC-464D-878B-6FBF2E176406}"/>
    <cellStyle name="Título 2 3" xfId="255" xr:uid="{BB2E5AF8-500E-41B4-8B52-52F567371531}"/>
    <cellStyle name="Título 2 4" xfId="256" xr:uid="{4C82165B-BE23-409A-90BD-D9817D9DE17F}"/>
    <cellStyle name="Título 3" xfId="11" builtinId="18" customBuiltin="1"/>
    <cellStyle name="Título 3 2" xfId="257" xr:uid="{FB427CF7-C0FF-4A58-A91A-C66C6A7F6811}"/>
    <cellStyle name="Título 3 3" xfId="258" xr:uid="{FDFB1A38-BCF4-4AD3-A417-17AA55BC811D}"/>
    <cellStyle name="Título 3 4" xfId="259" xr:uid="{84AB1F4C-4E8E-4871-9304-884042C498EE}"/>
    <cellStyle name="Título 4" xfId="260" xr:uid="{B536067B-B07F-48B9-B9D4-35E13B6F51BE}"/>
    <cellStyle name="Título 4 2" xfId="261" xr:uid="{FF9E1F05-C73F-486B-AEEE-3423D942EC9D}"/>
    <cellStyle name="Título 4_real" xfId="262" xr:uid="{3BD55021-AA8C-47C5-BEEB-7E0CB508DC96}"/>
    <cellStyle name="Título 5" xfId="263" xr:uid="{DABDC6F7-B4FB-4908-99F0-6398D6FD0A5D}"/>
    <cellStyle name="Título 6" xfId="264" xr:uid="{96131D6F-15AE-43B6-B5B4-957E0149C728}"/>
    <cellStyle name="Total" xfId="24" builtinId="25" customBuiltin="1"/>
    <cellStyle name="Total 2" xfId="265" xr:uid="{B0504F1A-228C-4CEB-9803-20E8B802612A}"/>
    <cellStyle name="Total 3" xfId="266" xr:uid="{5510D6C8-DF82-44FE-8AC4-885078C96692}"/>
    <cellStyle name="Total 4" xfId="267" xr:uid="{4C189EE6-6049-4B71-873A-089D4362DFB0}"/>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sheetPr>
    <pageSetUpPr fitToPage="1"/>
  </sheetPr>
  <dimension ref="A1:Z63375"/>
  <sheetViews>
    <sheetView tabSelected="1" zoomScale="91" zoomScaleNormal="91" workbookViewId="0">
      <selection activeCell="O3" sqref="O3"/>
    </sheetView>
  </sheetViews>
  <sheetFormatPr baseColWidth="10" defaultColWidth="11.42578125" defaultRowHeight="12.75" x14ac:dyDescent="0.2"/>
  <cols>
    <col min="1" max="1" width="1.7109375" style="1" customWidth="1"/>
    <col min="2" max="2" width="35.85546875" style="1" customWidth="1"/>
    <col min="3" max="3" width="1.140625" style="1" customWidth="1"/>
    <col min="4" max="4" width="18.28515625" style="1" customWidth="1"/>
    <col min="5" max="5" width="0.7109375" style="1" customWidth="1"/>
    <col min="6" max="6" width="15.85546875" style="1" bestFit="1" customWidth="1"/>
    <col min="7" max="7" width="1.14062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5" width="24.5703125" style="1" customWidth="1"/>
    <col min="16" max="16" width="17.5703125" style="1" bestFit="1" customWidth="1"/>
    <col min="17" max="17" width="28.42578125" style="1" customWidth="1"/>
    <col min="18" max="18" width="18.28515625" style="1" customWidth="1"/>
    <col min="19" max="19" width="13.7109375" style="1" bestFit="1" customWidth="1"/>
    <col min="20" max="20" width="16" style="1" bestFit="1" customWidth="1"/>
    <col min="21" max="125" width="11.42578125" style="1"/>
    <col min="126" max="126" width="1.7109375" style="1" customWidth="1"/>
    <col min="127" max="127" width="45.42578125" style="1" customWidth="1"/>
    <col min="128" max="128" width="1.140625" style="1" customWidth="1"/>
    <col min="129" max="129" width="16.5703125" style="1" customWidth="1"/>
    <col min="130" max="130" width="0.7109375" style="1" customWidth="1"/>
    <col min="131" max="131" width="16.5703125" style="1" customWidth="1"/>
    <col min="132" max="132" width="0.7109375" style="1" customWidth="1"/>
    <col min="133" max="133" width="18" style="1" customWidth="1"/>
    <col min="134" max="134" width="1.140625" style="1" customWidth="1"/>
    <col min="135" max="135" width="15.28515625" style="1" customWidth="1"/>
    <col min="136" max="136" width="0.7109375" style="1" customWidth="1"/>
    <col min="137" max="137" width="15.28515625" style="1" customWidth="1"/>
    <col min="138" max="138" width="0.7109375" style="1" customWidth="1"/>
    <col min="139" max="139" width="15.28515625" style="1" customWidth="1"/>
    <col min="140" max="140" width="14.42578125" style="1" bestFit="1" customWidth="1"/>
    <col min="141" max="143" width="16" style="1" customWidth="1"/>
    <col min="144" max="144" width="14.42578125" style="1" bestFit="1" customWidth="1"/>
    <col min="145" max="381" width="11.42578125" style="1"/>
    <col min="382" max="382" width="1.7109375" style="1" customWidth="1"/>
    <col min="383" max="383" width="45.42578125" style="1" customWidth="1"/>
    <col min="384" max="384" width="1.140625" style="1" customWidth="1"/>
    <col min="385" max="385" width="16.5703125" style="1" customWidth="1"/>
    <col min="386" max="386" width="0.7109375" style="1" customWidth="1"/>
    <col min="387" max="387" width="16.5703125" style="1" customWidth="1"/>
    <col min="388" max="388" width="0.7109375" style="1" customWidth="1"/>
    <col min="389" max="389" width="18" style="1" customWidth="1"/>
    <col min="390" max="390" width="1.140625" style="1" customWidth="1"/>
    <col min="391" max="391" width="15.28515625" style="1" customWidth="1"/>
    <col min="392" max="392" width="0.7109375" style="1" customWidth="1"/>
    <col min="393" max="393" width="15.28515625" style="1" customWidth="1"/>
    <col min="394" max="394" width="0.7109375" style="1" customWidth="1"/>
    <col min="395" max="395" width="15.28515625" style="1" customWidth="1"/>
    <col min="396" max="396" width="14.42578125" style="1" bestFit="1" customWidth="1"/>
    <col min="397" max="399" width="16" style="1" customWidth="1"/>
    <col min="400" max="400" width="14.42578125" style="1" bestFit="1" customWidth="1"/>
    <col min="401" max="637" width="11.42578125" style="1"/>
    <col min="638" max="638" width="1.7109375" style="1" customWidth="1"/>
    <col min="639" max="639" width="45.42578125" style="1" customWidth="1"/>
    <col min="640" max="640" width="1.140625" style="1" customWidth="1"/>
    <col min="641" max="641" width="16.5703125" style="1" customWidth="1"/>
    <col min="642" max="642" width="0.7109375" style="1" customWidth="1"/>
    <col min="643" max="643" width="16.5703125" style="1" customWidth="1"/>
    <col min="644" max="644" width="0.7109375" style="1" customWidth="1"/>
    <col min="645" max="645" width="18" style="1" customWidth="1"/>
    <col min="646" max="646" width="1.140625" style="1" customWidth="1"/>
    <col min="647" max="647" width="15.28515625" style="1" customWidth="1"/>
    <col min="648" max="648" width="0.7109375" style="1" customWidth="1"/>
    <col min="649" max="649" width="15.28515625" style="1" customWidth="1"/>
    <col min="650" max="650" width="0.7109375" style="1" customWidth="1"/>
    <col min="651" max="651" width="15.28515625" style="1" customWidth="1"/>
    <col min="652" max="652" width="14.42578125" style="1" bestFit="1" customWidth="1"/>
    <col min="653" max="655" width="16" style="1" customWidth="1"/>
    <col min="656" max="656" width="14.42578125" style="1" bestFit="1" customWidth="1"/>
    <col min="657" max="893" width="11.42578125" style="1"/>
    <col min="894" max="894" width="1.7109375" style="1" customWidth="1"/>
    <col min="895" max="895" width="45.42578125" style="1" customWidth="1"/>
    <col min="896" max="896" width="1.140625" style="1" customWidth="1"/>
    <col min="897" max="897" width="16.5703125" style="1" customWidth="1"/>
    <col min="898" max="898" width="0.7109375" style="1" customWidth="1"/>
    <col min="899" max="899" width="16.5703125" style="1" customWidth="1"/>
    <col min="900" max="900" width="0.7109375" style="1" customWidth="1"/>
    <col min="901" max="901" width="18" style="1" customWidth="1"/>
    <col min="902" max="902" width="1.140625" style="1" customWidth="1"/>
    <col min="903" max="903" width="15.28515625" style="1" customWidth="1"/>
    <col min="904" max="904" width="0.7109375" style="1" customWidth="1"/>
    <col min="905" max="905" width="15.28515625" style="1" customWidth="1"/>
    <col min="906" max="906" width="0.7109375" style="1" customWidth="1"/>
    <col min="907" max="907" width="15.28515625" style="1" customWidth="1"/>
    <col min="908" max="908" width="14.42578125" style="1" bestFit="1" customWidth="1"/>
    <col min="909" max="911" width="16" style="1" customWidth="1"/>
    <col min="912" max="912" width="14.42578125" style="1" bestFit="1" customWidth="1"/>
    <col min="913" max="1149" width="11.42578125" style="1"/>
    <col min="1150" max="1150" width="1.7109375" style="1" customWidth="1"/>
    <col min="1151" max="1151" width="45.42578125" style="1" customWidth="1"/>
    <col min="1152" max="1152" width="1.140625" style="1" customWidth="1"/>
    <col min="1153" max="1153" width="16.5703125" style="1" customWidth="1"/>
    <col min="1154" max="1154" width="0.7109375" style="1" customWidth="1"/>
    <col min="1155" max="1155" width="16.5703125" style="1" customWidth="1"/>
    <col min="1156" max="1156" width="0.7109375" style="1" customWidth="1"/>
    <col min="1157" max="1157" width="18" style="1" customWidth="1"/>
    <col min="1158" max="1158" width="1.140625" style="1" customWidth="1"/>
    <col min="1159" max="1159" width="15.28515625" style="1" customWidth="1"/>
    <col min="1160" max="1160" width="0.7109375" style="1" customWidth="1"/>
    <col min="1161" max="1161" width="15.28515625" style="1" customWidth="1"/>
    <col min="1162" max="1162" width="0.7109375" style="1" customWidth="1"/>
    <col min="1163" max="1163" width="15.28515625" style="1" customWidth="1"/>
    <col min="1164" max="1164" width="14.42578125" style="1" bestFit="1" customWidth="1"/>
    <col min="1165" max="1167" width="16" style="1" customWidth="1"/>
    <col min="1168" max="1168" width="14.42578125" style="1" bestFit="1" customWidth="1"/>
    <col min="1169" max="1405" width="11.42578125" style="1"/>
    <col min="1406" max="1406" width="1.7109375" style="1" customWidth="1"/>
    <col min="1407" max="1407" width="45.42578125" style="1" customWidth="1"/>
    <col min="1408" max="1408" width="1.140625" style="1" customWidth="1"/>
    <col min="1409" max="1409" width="16.5703125" style="1" customWidth="1"/>
    <col min="1410" max="1410" width="0.7109375" style="1" customWidth="1"/>
    <col min="1411" max="1411" width="16.5703125" style="1" customWidth="1"/>
    <col min="1412" max="1412" width="0.7109375" style="1" customWidth="1"/>
    <col min="1413" max="1413" width="18" style="1" customWidth="1"/>
    <col min="1414" max="1414" width="1.140625" style="1" customWidth="1"/>
    <col min="1415" max="1415" width="15.28515625" style="1" customWidth="1"/>
    <col min="1416" max="1416" width="0.7109375" style="1" customWidth="1"/>
    <col min="1417" max="1417" width="15.28515625" style="1" customWidth="1"/>
    <col min="1418" max="1418" width="0.7109375" style="1" customWidth="1"/>
    <col min="1419" max="1419" width="15.28515625" style="1" customWidth="1"/>
    <col min="1420" max="1420" width="14.42578125" style="1" bestFit="1" customWidth="1"/>
    <col min="1421" max="1423" width="16" style="1" customWidth="1"/>
    <col min="1424" max="1424" width="14.42578125" style="1" bestFit="1" customWidth="1"/>
    <col min="1425" max="1661" width="11.42578125" style="1"/>
    <col min="1662" max="1662" width="1.7109375" style="1" customWidth="1"/>
    <col min="1663" max="1663" width="45.42578125" style="1" customWidth="1"/>
    <col min="1664" max="1664" width="1.140625" style="1" customWidth="1"/>
    <col min="1665" max="1665" width="16.5703125" style="1" customWidth="1"/>
    <col min="1666" max="1666" width="0.7109375" style="1" customWidth="1"/>
    <col min="1667" max="1667" width="16.5703125" style="1" customWidth="1"/>
    <col min="1668" max="1668" width="0.7109375" style="1" customWidth="1"/>
    <col min="1669" max="1669" width="18" style="1" customWidth="1"/>
    <col min="1670" max="1670" width="1.140625" style="1" customWidth="1"/>
    <col min="1671" max="1671" width="15.28515625" style="1" customWidth="1"/>
    <col min="1672" max="1672" width="0.7109375" style="1" customWidth="1"/>
    <col min="1673" max="1673" width="15.28515625" style="1" customWidth="1"/>
    <col min="1674" max="1674" width="0.7109375" style="1" customWidth="1"/>
    <col min="1675" max="1675" width="15.28515625" style="1" customWidth="1"/>
    <col min="1676" max="1676" width="14.42578125" style="1" bestFit="1" customWidth="1"/>
    <col min="1677" max="1679" width="16" style="1" customWidth="1"/>
    <col min="1680" max="1680" width="14.42578125" style="1" bestFit="1" customWidth="1"/>
    <col min="1681" max="1917" width="11.42578125" style="1"/>
    <col min="1918" max="1918" width="1.7109375" style="1" customWidth="1"/>
    <col min="1919" max="1919" width="45.42578125" style="1" customWidth="1"/>
    <col min="1920" max="1920" width="1.140625" style="1" customWidth="1"/>
    <col min="1921" max="1921" width="16.5703125" style="1" customWidth="1"/>
    <col min="1922" max="1922" width="0.7109375" style="1" customWidth="1"/>
    <col min="1923" max="1923" width="16.5703125" style="1" customWidth="1"/>
    <col min="1924" max="1924" width="0.7109375" style="1" customWidth="1"/>
    <col min="1925" max="1925" width="18" style="1" customWidth="1"/>
    <col min="1926" max="1926" width="1.140625" style="1" customWidth="1"/>
    <col min="1927" max="1927" width="15.28515625" style="1" customWidth="1"/>
    <col min="1928" max="1928" width="0.7109375" style="1" customWidth="1"/>
    <col min="1929" max="1929" width="15.28515625" style="1" customWidth="1"/>
    <col min="1930" max="1930" width="0.7109375" style="1" customWidth="1"/>
    <col min="1931" max="1931" width="15.28515625" style="1" customWidth="1"/>
    <col min="1932" max="1932" width="14.42578125" style="1" bestFit="1" customWidth="1"/>
    <col min="1933" max="1935" width="16" style="1" customWidth="1"/>
    <col min="1936" max="1936" width="14.42578125" style="1" bestFit="1" customWidth="1"/>
    <col min="1937" max="2173" width="11.42578125" style="1"/>
    <col min="2174" max="2174" width="1.7109375" style="1" customWidth="1"/>
    <col min="2175" max="2175" width="45.42578125" style="1" customWidth="1"/>
    <col min="2176" max="2176" width="1.140625" style="1" customWidth="1"/>
    <col min="2177" max="2177" width="16.5703125" style="1" customWidth="1"/>
    <col min="2178" max="2178" width="0.7109375" style="1" customWidth="1"/>
    <col min="2179" max="2179" width="16.5703125" style="1" customWidth="1"/>
    <col min="2180" max="2180" width="0.7109375" style="1" customWidth="1"/>
    <col min="2181" max="2181" width="18" style="1" customWidth="1"/>
    <col min="2182" max="2182" width="1.140625" style="1" customWidth="1"/>
    <col min="2183" max="2183" width="15.28515625" style="1" customWidth="1"/>
    <col min="2184" max="2184" width="0.7109375" style="1" customWidth="1"/>
    <col min="2185" max="2185" width="15.28515625" style="1" customWidth="1"/>
    <col min="2186" max="2186" width="0.7109375" style="1" customWidth="1"/>
    <col min="2187" max="2187" width="15.28515625" style="1" customWidth="1"/>
    <col min="2188" max="2188" width="14.42578125" style="1" bestFit="1" customWidth="1"/>
    <col min="2189" max="2191" width="16" style="1" customWidth="1"/>
    <col min="2192" max="2192" width="14.42578125" style="1" bestFit="1" customWidth="1"/>
    <col min="2193" max="2429" width="11.42578125" style="1"/>
    <col min="2430" max="2430" width="1.7109375" style="1" customWidth="1"/>
    <col min="2431" max="2431" width="45.42578125" style="1" customWidth="1"/>
    <col min="2432" max="2432" width="1.140625" style="1" customWidth="1"/>
    <col min="2433" max="2433" width="16.5703125" style="1" customWidth="1"/>
    <col min="2434" max="2434" width="0.7109375" style="1" customWidth="1"/>
    <col min="2435" max="2435" width="16.5703125" style="1" customWidth="1"/>
    <col min="2436" max="2436" width="0.7109375" style="1" customWidth="1"/>
    <col min="2437" max="2437" width="18" style="1" customWidth="1"/>
    <col min="2438" max="2438" width="1.140625" style="1" customWidth="1"/>
    <col min="2439" max="2439" width="15.28515625" style="1" customWidth="1"/>
    <col min="2440" max="2440" width="0.7109375" style="1" customWidth="1"/>
    <col min="2441" max="2441" width="15.28515625" style="1" customWidth="1"/>
    <col min="2442" max="2442" width="0.7109375" style="1" customWidth="1"/>
    <col min="2443" max="2443" width="15.28515625" style="1" customWidth="1"/>
    <col min="2444" max="2444" width="14.42578125" style="1" bestFit="1" customWidth="1"/>
    <col min="2445" max="2447" width="16" style="1" customWidth="1"/>
    <col min="2448" max="2448" width="14.42578125" style="1" bestFit="1" customWidth="1"/>
    <col min="2449" max="2685" width="11.42578125" style="1"/>
    <col min="2686" max="2686" width="1.7109375" style="1" customWidth="1"/>
    <col min="2687" max="2687" width="45.42578125" style="1" customWidth="1"/>
    <col min="2688" max="2688" width="1.140625" style="1" customWidth="1"/>
    <col min="2689" max="2689" width="16.5703125" style="1" customWidth="1"/>
    <col min="2690" max="2690" width="0.7109375" style="1" customWidth="1"/>
    <col min="2691" max="2691" width="16.5703125" style="1" customWidth="1"/>
    <col min="2692" max="2692" width="0.7109375" style="1" customWidth="1"/>
    <col min="2693" max="2693" width="18" style="1" customWidth="1"/>
    <col min="2694" max="2694" width="1.140625" style="1" customWidth="1"/>
    <col min="2695" max="2695" width="15.28515625" style="1" customWidth="1"/>
    <col min="2696" max="2696" width="0.7109375" style="1" customWidth="1"/>
    <col min="2697" max="2697" width="15.28515625" style="1" customWidth="1"/>
    <col min="2698" max="2698" width="0.7109375" style="1" customWidth="1"/>
    <col min="2699" max="2699" width="15.28515625" style="1" customWidth="1"/>
    <col min="2700" max="2700" width="14.42578125" style="1" bestFit="1" customWidth="1"/>
    <col min="2701" max="2703" width="16" style="1" customWidth="1"/>
    <col min="2704" max="2704" width="14.42578125" style="1" bestFit="1" customWidth="1"/>
    <col min="2705" max="2941" width="11.42578125" style="1"/>
    <col min="2942" max="2942" width="1.7109375" style="1" customWidth="1"/>
    <col min="2943" max="2943" width="45.42578125" style="1" customWidth="1"/>
    <col min="2944" max="2944" width="1.140625" style="1" customWidth="1"/>
    <col min="2945" max="2945" width="16.5703125" style="1" customWidth="1"/>
    <col min="2946" max="2946" width="0.7109375" style="1" customWidth="1"/>
    <col min="2947" max="2947" width="16.5703125" style="1" customWidth="1"/>
    <col min="2948" max="2948" width="0.7109375" style="1" customWidth="1"/>
    <col min="2949" max="2949" width="18" style="1" customWidth="1"/>
    <col min="2950" max="2950" width="1.140625" style="1" customWidth="1"/>
    <col min="2951" max="2951" width="15.28515625" style="1" customWidth="1"/>
    <col min="2952" max="2952" width="0.7109375" style="1" customWidth="1"/>
    <col min="2953" max="2953" width="15.28515625" style="1" customWidth="1"/>
    <col min="2954" max="2954" width="0.7109375" style="1" customWidth="1"/>
    <col min="2955" max="2955" width="15.28515625" style="1" customWidth="1"/>
    <col min="2956" max="2956" width="14.42578125" style="1" bestFit="1" customWidth="1"/>
    <col min="2957" max="2959" width="16" style="1" customWidth="1"/>
    <col min="2960" max="2960" width="14.42578125" style="1" bestFit="1" customWidth="1"/>
    <col min="2961" max="3197" width="11.42578125" style="1"/>
    <col min="3198" max="3198" width="1.7109375" style="1" customWidth="1"/>
    <col min="3199" max="3199" width="45.42578125" style="1" customWidth="1"/>
    <col min="3200" max="3200" width="1.140625" style="1" customWidth="1"/>
    <col min="3201" max="3201" width="16.5703125" style="1" customWidth="1"/>
    <col min="3202" max="3202" width="0.7109375" style="1" customWidth="1"/>
    <col min="3203" max="3203" width="16.5703125" style="1" customWidth="1"/>
    <col min="3204" max="3204" width="0.7109375" style="1" customWidth="1"/>
    <col min="3205" max="3205" width="18" style="1" customWidth="1"/>
    <col min="3206" max="3206" width="1.140625" style="1" customWidth="1"/>
    <col min="3207" max="3207" width="15.28515625" style="1" customWidth="1"/>
    <col min="3208" max="3208" width="0.7109375" style="1" customWidth="1"/>
    <col min="3209" max="3209" width="15.28515625" style="1" customWidth="1"/>
    <col min="3210" max="3210" width="0.7109375" style="1" customWidth="1"/>
    <col min="3211" max="3211" width="15.28515625" style="1" customWidth="1"/>
    <col min="3212" max="3212" width="14.42578125" style="1" bestFit="1" customWidth="1"/>
    <col min="3213" max="3215" width="16" style="1" customWidth="1"/>
    <col min="3216" max="3216" width="14.42578125" style="1" bestFit="1" customWidth="1"/>
    <col min="3217" max="3453" width="11.42578125" style="1"/>
    <col min="3454" max="3454" width="1.7109375" style="1" customWidth="1"/>
    <col min="3455" max="3455" width="45.42578125" style="1" customWidth="1"/>
    <col min="3456" max="3456" width="1.140625" style="1" customWidth="1"/>
    <col min="3457" max="3457" width="16.5703125" style="1" customWidth="1"/>
    <col min="3458" max="3458" width="0.7109375" style="1" customWidth="1"/>
    <col min="3459" max="3459" width="16.5703125" style="1" customWidth="1"/>
    <col min="3460" max="3460" width="0.7109375" style="1" customWidth="1"/>
    <col min="3461" max="3461" width="18" style="1" customWidth="1"/>
    <col min="3462" max="3462" width="1.140625" style="1" customWidth="1"/>
    <col min="3463" max="3463" width="15.28515625" style="1" customWidth="1"/>
    <col min="3464" max="3464" width="0.7109375" style="1" customWidth="1"/>
    <col min="3465" max="3465" width="15.28515625" style="1" customWidth="1"/>
    <col min="3466" max="3466" width="0.7109375" style="1" customWidth="1"/>
    <col min="3467" max="3467" width="15.28515625" style="1" customWidth="1"/>
    <col min="3468" max="3468" width="14.42578125" style="1" bestFit="1" customWidth="1"/>
    <col min="3469" max="3471" width="16" style="1" customWidth="1"/>
    <col min="3472" max="3472" width="14.42578125" style="1" bestFit="1" customWidth="1"/>
    <col min="3473" max="3709" width="11.42578125" style="1"/>
    <col min="3710" max="3710" width="1.7109375" style="1" customWidth="1"/>
    <col min="3711" max="3711" width="45.42578125" style="1" customWidth="1"/>
    <col min="3712" max="3712" width="1.140625" style="1" customWidth="1"/>
    <col min="3713" max="3713" width="16.5703125" style="1" customWidth="1"/>
    <col min="3714" max="3714" width="0.7109375" style="1" customWidth="1"/>
    <col min="3715" max="3715" width="16.5703125" style="1" customWidth="1"/>
    <col min="3716" max="3716" width="0.7109375" style="1" customWidth="1"/>
    <col min="3717" max="3717" width="18" style="1" customWidth="1"/>
    <col min="3718" max="3718" width="1.140625" style="1" customWidth="1"/>
    <col min="3719" max="3719" width="15.28515625" style="1" customWidth="1"/>
    <col min="3720" max="3720" width="0.7109375" style="1" customWidth="1"/>
    <col min="3721" max="3721" width="15.28515625" style="1" customWidth="1"/>
    <col min="3722" max="3722" width="0.7109375" style="1" customWidth="1"/>
    <col min="3723" max="3723" width="15.28515625" style="1" customWidth="1"/>
    <col min="3724" max="3724" width="14.42578125" style="1" bestFit="1" customWidth="1"/>
    <col min="3725" max="3727" width="16" style="1" customWidth="1"/>
    <col min="3728" max="3728" width="14.42578125" style="1" bestFit="1" customWidth="1"/>
    <col min="3729" max="3965" width="11.42578125" style="1"/>
    <col min="3966" max="3966" width="1.7109375" style="1" customWidth="1"/>
    <col min="3967" max="3967" width="45.42578125" style="1" customWidth="1"/>
    <col min="3968" max="3968" width="1.140625" style="1" customWidth="1"/>
    <col min="3969" max="3969" width="16.5703125" style="1" customWidth="1"/>
    <col min="3970" max="3970" width="0.7109375" style="1" customWidth="1"/>
    <col min="3971" max="3971" width="16.5703125" style="1" customWidth="1"/>
    <col min="3972" max="3972" width="0.7109375" style="1" customWidth="1"/>
    <col min="3973" max="3973" width="18" style="1" customWidth="1"/>
    <col min="3974" max="3974" width="1.140625" style="1" customWidth="1"/>
    <col min="3975" max="3975" width="15.28515625" style="1" customWidth="1"/>
    <col min="3976" max="3976" width="0.7109375" style="1" customWidth="1"/>
    <col min="3977" max="3977" width="15.28515625" style="1" customWidth="1"/>
    <col min="3978" max="3978" width="0.7109375" style="1" customWidth="1"/>
    <col min="3979" max="3979" width="15.28515625" style="1" customWidth="1"/>
    <col min="3980" max="3980" width="14.42578125" style="1" bestFit="1" customWidth="1"/>
    <col min="3981" max="3983" width="16" style="1" customWidth="1"/>
    <col min="3984" max="3984" width="14.42578125" style="1" bestFit="1" customWidth="1"/>
    <col min="3985" max="4221" width="11.42578125" style="1"/>
    <col min="4222" max="4222" width="1.7109375" style="1" customWidth="1"/>
    <col min="4223" max="4223" width="45.42578125" style="1" customWidth="1"/>
    <col min="4224" max="4224" width="1.140625" style="1" customWidth="1"/>
    <col min="4225" max="4225" width="16.5703125" style="1" customWidth="1"/>
    <col min="4226" max="4226" width="0.7109375" style="1" customWidth="1"/>
    <col min="4227" max="4227" width="16.5703125" style="1" customWidth="1"/>
    <col min="4228" max="4228" width="0.7109375" style="1" customWidth="1"/>
    <col min="4229" max="4229" width="18" style="1" customWidth="1"/>
    <col min="4230" max="4230" width="1.140625" style="1" customWidth="1"/>
    <col min="4231" max="4231" width="15.28515625" style="1" customWidth="1"/>
    <col min="4232" max="4232" width="0.7109375" style="1" customWidth="1"/>
    <col min="4233" max="4233" width="15.28515625" style="1" customWidth="1"/>
    <col min="4234" max="4234" width="0.7109375" style="1" customWidth="1"/>
    <col min="4235" max="4235" width="15.28515625" style="1" customWidth="1"/>
    <col min="4236" max="4236" width="14.42578125" style="1" bestFit="1" customWidth="1"/>
    <col min="4237" max="4239" width="16" style="1" customWidth="1"/>
    <col min="4240" max="4240" width="14.42578125" style="1" bestFit="1" customWidth="1"/>
    <col min="4241" max="4477" width="11.42578125" style="1"/>
    <col min="4478" max="4478" width="1.7109375" style="1" customWidth="1"/>
    <col min="4479" max="4479" width="45.42578125" style="1" customWidth="1"/>
    <col min="4480" max="4480" width="1.140625" style="1" customWidth="1"/>
    <col min="4481" max="4481" width="16.5703125" style="1" customWidth="1"/>
    <col min="4482" max="4482" width="0.7109375" style="1" customWidth="1"/>
    <col min="4483" max="4483" width="16.5703125" style="1" customWidth="1"/>
    <col min="4484" max="4484" width="0.7109375" style="1" customWidth="1"/>
    <col min="4485" max="4485" width="18" style="1" customWidth="1"/>
    <col min="4486" max="4486" width="1.140625" style="1" customWidth="1"/>
    <col min="4487" max="4487" width="15.28515625" style="1" customWidth="1"/>
    <col min="4488" max="4488" width="0.7109375" style="1" customWidth="1"/>
    <col min="4489" max="4489" width="15.28515625" style="1" customWidth="1"/>
    <col min="4490" max="4490" width="0.7109375" style="1" customWidth="1"/>
    <col min="4491" max="4491" width="15.28515625" style="1" customWidth="1"/>
    <col min="4492" max="4492" width="14.42578125" style="1" bestFit="1" customWidth="1"/>
    <col min="4493" max="4495" width="16" style="1" customWidth="1"/>
    <col min="4496" max="4496" width="14.42578125" style="1" bestFit="1" customWidth="1"/>
    <col min="4497" max="4733" width="11.42578125" style="1"/>
    <col min="4734" max="4734" width="1.7109375" style="1" customWidth="1"/>
    <col min="4735" max="4735" width="45.42578125" style="1" customWidth="1"/>
    <col min="4736" max="4736" width="1.140625" style="1" customWidth="1"/>
    <col min="4737" max="4737" width="16.5703125" style="1" customWidth="1"/>
    <col min="4738" max="4738" width="0.7109375" style="1" customWidth="1"/>
    <col min="4739" max="4739" width="16.5703125" style="1" customWidth="1"/>
    <col min="4740" max="4740" width="0.7109375" style="1" customWidth="1"/>
    <col min="4741" max="4741" width="18" style="1" customWidth="1"/>
    <col min="4742" max="4742" width="1.140625" style="1" customWidth="1"/>
    <col min="4743" max="4743" width="15.28515625" style="1" customWidth="1"/>
    <col min="4744" max="4744" width="0.7109375" style="1" customWidth="1"/>
    <col min="4745" max="4745" width="15.28515625" style="1" customWidth="1"/>
    <col min="4746" max="4746" width="0.7109375" style="1" customWidth="1"/>
    <col min="4747" max="4747" width="15.28515625" style="1" customWidth="1"/>
    <col min="4748" max="4748" width="14.42578125" style="1" bestFit="1" customWidth="1"/>
    <col min="4749" max="4751" width="16" style="1" customWidth="1"/>
    <col min="4752" max="4752" width="14.42578125" style="1" bestFit="1" customWidth="1"/>
    <col min="4753" max="4989" width="11.42578125" style="1"/>
    <col min="4990" max="4990" width="1.7109375" style="1" customWidth="1"/>
    <col min="4991" max="4991" width="45.42578125" style="1" customWidth="1"/>
    <col min="4992" max="4992" width="1.140625" style="1" customWidth="1"/>
    <col min="4993" max="4993" width="16.5703125" style="1" customWidth="1"/>
    <col min="4994" max="4994" width="0.7109375" style="1" customWidth="1"/>
    <col min="4995" max="4995" width="16.5703125" style="1" customWidth="1"/>
    <col min="4996" max="4996" width="0.7109375" style="1" customWidth="1"/>
    <col min="4997" max="4997" width="18" style="1" customWidth="1"/>
    <col min="4998" max="4998" width="1.140625" style="1" customWidth="1"/>
    <col min="4999" max="4999" width="15.28515625" style="1" customWidth="1"/>
    <col min="5000" max="5000" width="0.7109375" style="1" customWidth="1"/>
    <col min="5001" max="5001" width="15.28515625" style="1" customWidth="1"/>
    <col min="5002" max="5002" width="0.7109375" style="1" customWidth="1"/>
    <col min="5003" max="5003" width="15.28515625" style="1" customWidth="1"/>
    <col min="5004" max="5004" width="14.42578125" style="1" bestFit="1" customWidth="1"/>
    <col min="5005" max="5007" width="16" style="1" customWidth="1"/>
    <col min="5008" max="5008" width="14.42578125" style="1" bestFit="1" customWidth="1"/>
    <col min="5009" max="5245" width="11.42578125" style="1"/>
    <col min="5246" max="5246" width="1.7109375" style="1" customWidth="1"/>
    <col min="5247" max="5247" width="45.42578125" style="1" customWidth="1"/>
    <col min="5248" max="5248" width="1.140625" style="1" customWidth="1"/>
    <col min="5249" max="5249" width="16.5703125" style="1" customWidth="1"/>
    <col min="5250" max="5250" width="0.7109375" style="1" customWidth="1"/>
    <col min="5251" max="5251" width="16.5703125" style="1" customWidth="1"/>
    <col min="5252" max="5252" width="0.7109375" style="1" customWidth="1"/>
    <col min="5253" max="5253" width="18" style="1" customWidth="1"/>
    <col min="5254" max="5254" width="1.140625" style="1" customWidth="1"/>
    <col min="5255" max="5255" width="15.28515625" style="1" customWidth="1"/>
    <col min="5256" max="5256" width="0.7109375" style="1" customWidth="1"/>
    <col min="5257" max="5257" width="15.28515625" style="1" customWidth="1"/>
    <col min="5258" max="5258" width="0.7109375" style="1" customWidth="1"/>
    <col min="5259" max="5259" width="15.28515625" style="1" customWidth="1"/>
    <col min="5260" max="5260" width="14.42578125" style="1" bestFit="1" customWidth="1"/>
    <col min="5261" max="5263" width="16" style="1" customWidth="1"/>
    <col min="5264" max="5264" width="14.42578125" style="1" bestFit="1" customWidth="1"/>
    <col min="5265" max="5501" width="11.42578125" style="1"/>
    <col min="5502" max="5502" width="1.7109375" style="1" customWidth="1"/>
    <col min="5503" max="5503" width="45.42578125" style="1" customWidth="1"/>
    <col min="5504" max="5504" width="1.140625" style="1" customWidth="1"/>
    <col min="5505" max="5505" width="16.5703125" style="1" customWidth="1"/>
    <col min="5506" max="5506" width="0.7109375" style="1" customWidth="1"/>
    <col min="5507" max="5507" width="16.5703125" style="1" customWidth="1"/>
    <col min="5508" max="5508" width="0.7109375" style="1" customWidth="1"/>
    <col min="5509" max="5509" width="18" style="1" customWidth="1"/>
    <col min="5510" max="5510" width="1.140625" style="1" customWidth="1"/>
    <col min="5511" max="5511" width="15.28515625" style="1" customWidth="1"/>
    <col min="5512" max="5512" width="0.7109375" style="1" customWidth="1"/>
    <col min="5513" max="5513" width="15.28515625" style="1" customWidth="1"/>
    <col min="5514" max="5514" width="0.7109375" style="1" customWidth="1"/>
    <col min="5515" max="5515" width="15.28515625" style="1" customWidth="1"/>
    <col min="5516" max="5516" width="14.42578125" style="1" bestFit="1" customWidth="1"/>
    <col min="5517" max="5519" width="16" style="1" customWidth="1"/>
    <col min="5520" max="5520" width="14.42578125" style="1" bestFit="1" customWidth="1"/>
    <col min="5521" max="5757" width="11.42578125" style="1"/>
    <col min="5758" max="5758" width="1.7109375" style="1" customWidth="1"/>
    <col min="5759" max="5759" width="45.42578125" style="1" customWidth="1"/>
    <col min="5760" max="5760" width="1.140625" style="1" customWidth="1"/>
    <col min="5761" max="5761" width="16.5703125" style="1" customWidth="1"/>
    <col min="5762" max="5762" width="0.7109375" style="1" customWidth="1"/>
    <col min="5763" max="5763" width="16.5703125" style="1" customWidth="1"/>
    <col min="5764" max="5764" width="0.7109375" style="1" customWidth="1"/>
    <col min="5765" max="5765" width="18" style="1" customWidth="1"/>
    <col min="5766" max="5766" width="1.140625" style="1" customWidth="1"/>
    <col min="5767" max="5767" width="15.28515625" style="1" customWidth="1"/>
    <col min="5768" max="5768" width="0.7109375" style="1" customWidth="1"/>
    <col min="5769" max="5769" width="15.28515625" style="1" customWidth="1"/>
    <col min="5770" max="5770" width="0.7109375" style="1" customWidth="1"/>
    <col min="5771" max="5771" width="15.28515625" style="1" customWidth="1"/>
    <col min="5772" max="5772" width="14.42578125" style="1" bestFit="1" customWidth="1"/>
    <col min="5773" max="5775" width="16" style="1" customWidth="1"/>
    <col min="5776" max="5776" width="14.42578125" style="1" bestFit="1" customWidth="1"/>
    <col min="5777" max="6013" width="11.42578125" style="1"/>
    <col min="6014" max="6014" width="1.7109375" style="1" customWidth="1"/>
    <col min="6015" max="6015" width="45.42578125" style="1" customWidth="1"/>
    <col min="6016" max="6016" width="1.140625" style="1" customWidth="1"/>
    <col min="6017" max="6017" width="16.5703125" style="1" customWidth="1"/>
    <col min="6018" max="6018" width="0.7109375" style="1" customWidth="1"/>
    <col min="6019" max="6019" width="16.5703125" style="1" customWidth="1"/>
    <col min="6020" max="6020" width="0.7109375" style="1" customWidth="1"/>
    <col min="6021" max="6021" width="18" style="1" customWidth="1"/>
    <col min="6022" max="6022" width="1.140625" style="1" customWidth="1"/>
    <col min="6023" max="6023" width="15.28515625" style="1" customWidth="1"/>
    <col min="6024" max="6024" width="0.7109375" style="1" customWidth="1"/>
    <col min="6025" max="6025" width="15.28515625" style="1" customWidth="1"/>
    <col min="6026" max="6026" width="0.7109375" style="1" customWidth="1"/>
    <col min="6027" max="6027" width="15.28515625" style="1" customWidth="1"/>
    <col min="6028" max="6028" width="14.42578125" style="1" bestFit="1" customWidth="1"/>
    <col min="6029" max="6031" width="16" style="1" customWidth="1"/>
    <col min="6032" max="6032" width="14.42578125" style="1" bestFit="1" customWidth="1"/>
    <col min="6033" max="6269" width="11.42578125" style="1"/>
    <col min="6270" max="6270" width="1.7109375" style="1" customWidth="1"/>
    <col min="6271" max="6271" width="45.42578125" style="1" customWidth="1"/>
    <col min="6272" max="6272" width="1.140625" style="1" customWidth="1"/>
    <col min="6273" max="6273" width="16.5703125" style="1" customWidth="1"/>
    <col min="6274" max="6274" width="0.7109375" style="1" customWidth="1"/>
    <col min="6275" max="6275" width="16.5703125" style="1" customWidth="1"/>
    <col min="6276" max="6276" width="0.7109375" style="1" customWidth="1"/>
    <col min="6277" max="6277" width="18" style="1" customWidth="1"/>
    <col min="6278" max="6278" width="1.140625" style="1" customWidth="1"/>
    <col min="6279" max="6279" width="15.28515625" style="1" customWidth="1"/>
    <col min="6280" max="6280" width="0.7109375" style="1" customWidth="1"/>
    <col min="6281" max="6281" width="15.28515625" style="1" customWidth="1"/>
    <col min="6282" max="6282" width="0.7109375" style="1" customWidth="1"/>
    <col min="6283" max="6283" width="15.28515625" style="1" customWidth="1"/>
    <col min="6284" max="6284" width="14.42578125" style="1" bestFit="1" customWidth="1"/>
    <col min="6285" max="6287" width="16" style="1" customWidth="1"/>
    <col min="6288" max="6288" width="14.42578125" style="1" bestFit="1" customWidth="1"/>
    <col min="6289" max="6525" width="11.42578125" style="1"/>
    <col min="6526" max="6526" width="1.7109375" style="1" customWidth="1"/>
    <col min="6527" max="6527" width="45.42578125" style="1" customWidth="1"/>
    <col min="6528" max="6528" width="1.140625" style="1" customWidth="1"/>
    <col min="6529" max="6529" width="16.5703125" style="1" customWidth="1"/>
    <col min="6530" max="6530" width="0.7109375" style="1" customWidth="1"/>
    <col min="6531" max="6531" width="16.5703125" style="1" customWidth="1"/>
    <col min="6532" max="6532" width="0.7109375" style="1" customWidth="1"/>
    <col min="6533" max="6533" width="18" style="1" customWidth="1"/>
    <col min="6534" max="6534" width="1.140625" style="1" customWidth="1"/>
    <col min="6535" max="6535" width="15.28515625" style="1" customWidth="1"/>
    <col min="6536" max="6536" width="0.7109375" style="1" customWidth="1"/>
    <col min="6537" max="6537" width="15.28515625" style="1" customWidth="1"/>
    <col min="6538" max="6538" width="0.7109375" style="1" customWidth="1"/>
    <col min="6539" max="6539" width="15.28515625" style="1" customWidth="1"/>
    <col min="6540" max="6540" width="14.42578125" style="1" bestFit="1" customWidth="1"/>
    <col min="6541" max="6543" width="16" style="1" customWidth="1"/>
    <col min="6544" max="6544" width="14.42578125" style="1" bestFit="1" customWidth="1"/>
    <col min="6545" max="6781" width="11.42578125" style="1"/>
    <col min="6782" max="6782" width="1.7109375" style="1" customWidth="1"/>
    <col min="6783" max="6783" width="45.42578125" style="1" customWidth="1"/>
    <col min="6784" max="6784" width="1.140625" style="1" customWidth="1"/>
    <col min="6785" max="6785" width="16.5703125" style="1" customWidth="1"/>
    <col min="6786" max="6786" width="0.7109375" style="1" customWidth="1"/>
    <col min="6787" max="6787" width="16.5703125" style="1" customWidth="1"/>
    <col min="6788" max="6788" width="0.7109375" style="1" customWidth="1"/>
    <col min="6789" max="6789" width="18" style="1" customWidth="1"/>
    <col min="6790" max="6790" width="1.140625" style="1" customWidth="1"/>
    <col min="6791" max="6791" width="15.28515625" style="1" customWidth="1"/>
    <col min="6792" max="6792" width="0.7109375" style="1" customWidth="1"/>
    <col min="6793" max="6793" width="15.28515625" style="1" customWidth="1"/>
    <col min="6794" max="6794" width="0.7109375" style="1" customWidth="1"/>
    <col min="6795" max="6795" width="15.28515625" style="1" customWidth="1"/>
    <col min="6796" max="6796" width="14.42578125" style="1" bestFit="1" customWidth="1"/>
    <col min="6797" max="6799" width="16" style="1" customWidth="1"/>
    <col min="6800" max="6800" width="14.42578125" style="1" bestFit="1" customWidth="1"/>
    <col min="6801" max="7037" width="11.42578125" style="1"/>
    <col min="7038" max="7038" width="1.7109375" style="1" customWidth="1"/>
    <col min="7039" max="7039" width="45.42578125" style="1" customWidth="1"/>
    <col min="7040" max="7040" width="1.140625" style="1" customWidth="1"/>
    <col min="7041" max="7041" width="16.5703125" style="1" customWidth="1"/>
    <col min="7042" max="7042" width="0.7109375" style="1" customWidth="1"/>
    <col min="7043" max="7043" width="16.5703125" style="1" customWidth="1"/>
    <col min="7044" max="7044" width="0.7109375" style="1" customWidth="1"/>
    <col min="7045" max="7045" width="18" style="1" customWidth="1"/>
    <col min="7046" max="7046" width="1.140625" style="1" customWidth="1"/>
    <col min="7047" max="7047" width="15.28515625" style="1" customWidth="1"/>
    <col min="7048" max="7048" width="0.7109375" style="1" customWidth="1"/>
    <col min="7049" max="7049" width="15.28515625" style="1" customWidth="1"/>
    <col min="7050" max="7050" width="0.7109375" style="1" customWidth="1"/>
    <col min="7051" max="7051" width="15.28515625" style="1" customWidth="1"/>
    <col min="7052" max="7052" width="14.42578125" style="1" bestFit="1" customWidth="1"/>
    <col min="7053" max="7055" width="16" style="1" customWidth="1"/>
    <col min="7056" max="7056" width="14.42578125" style="1" bestFit="1" customWidth="1"/>
    <col min="7057" max="7293" width="11.42578125" style="1"/>
    <col min="7294" max="7294" width="1.7109375" style="1" customWidth="1"/>
    <col min="7295" max="7295" width="45.42578125" style="1" customWidth="1"/>
    <col min="7296" max="7296" width="1.140625" style="1" customWidth="1"/>
    <col min="7297" max="7297" width="16.5703125" style="1" customWidth="1"/>
    <col min="7298" max="7298" width="0.7109375" style="1" customWidth="1"/>
    <col min="7299" max="7299" width="16.5703125" style="1" customWidth="1"/>
    <col min="7300" max="7300" width="0.7109375" style="1" customWidth="1"/>
    <col min="7301" max="7301" width="18" style="1" customWidth="1"/>
    <col min="7302" max="7302" width="1.140625" style="1" customWidth="1"/>
    <col min="7303" max="7303" width="15.28515625" style="1" customWidth="1"/>
    <col min="7304" max="7304" width="0.7109375" style="1" customWidth="1"/>
    <col min="7305" max="7305" width="15.28515625" style="1" customWidth="1"/>
    <col min="7306" max="7306" width="0.7109375" style="1" customWidth="1"/>
    <col min="7307" max="7307" width="15.28515625" style="1" customWidth="1"/>
    <col min="7308" max="7308" width="14.42578125" style="1" bestFit="1" customWidth="1"/>
    <col min="7309" max="7311" width="16" style="1" customWidth="1"/>
    <col min="7312" max="7312" width="14.42578125" style="1" bestFit="1" customWidth="1"/>
    <col min="7313" max="7549" width="11.42578125" style="1"/>
    <col min="7550" max="7550" width="1.7109375" style="1" customWidth="1"/>
    <col min="7551" max="7551" width="45.42578125" style="1" customWidth="1"/>
    <col min="7552" max="7552" width="1.140625" style="1" customWidth="1"/>
    <col min="7553" max="7553" width="16.5703125" style="1" customWidth="1"/>
    <col min="7554" max="7554" width="0.7109375" style="1" customWidth="1"/>
    <col min="7555" max="7555" width="16.5703125" style="1" customWidth="1"/>
    <col min="7556" max="7556" width="0.7109375" style="1" customWidth="1"/>
    <col min="7557" max="7557" width="18" style="1" customWidth="1"/>
    <col min="7558" max="7558" width="1.140625" style="1" customWidth="1"/>
    <col min="7559" max="7559" width="15.28515625" style="1" customWidth="1"/>
    <col min="7560" max="7560" width="0.7109375" style="1" customWidth="1"/>
    <col min="7561" max="7561" width="15.28515625" style="1" customWidth="1"/>
    <col min="7562" max="7562" width="0.7109375" style="1" customWidth="1"/>
    <col min="7563" max="7563" width="15.28515625" style="1" customWidth="1"/>
    <col min="7564" max="7564" width="14.42578125" style="1" bestFit="1" customWidth="1"/>
    <col min="7565" max="7567" width="16" style="1" customWidth="1"/>
    <col min="7568" max="7568" width="14.42578125" style="1" bestFit="1" customWidth="1"/>
    <col min="7569" max="7805" width="11.42578125" style="1"/>
    <col min="7806" max="7806" width="1.7109375" style="1" customWidth="1"/>
    <col min="7807" max="7807" width="45.42578125" style="1" customWidth="1"/>
    <col min="7808" max="7808" width="1.140625" style="1" customWidth="1"/>
    <col min="7809" max="7809" width="16.5703125" style="1" customWidth="1"/>
    <col min="7810" max="7810" width="0.7109375" style="1" customWidth="1"/>
    <col min="7811" max="7811" width="16.5703125" style="1" customWidth="1"/>
    <col min="7812" max="7812" width="0.7109375" style="1" customWidth="1"/>
    <col min="7813" max="7813" width="18" style="1" customWidth="1"/>
    <col min="7814" max="7814" width="1.140625" style="1" customWidth="1"/>
    <col min="7815" max="7815" width="15.28515625" style="1" customWidth="1"/>
    <col min="7816" max="7816" width="0.7109375" style="1" customWidth="1"/>
    <col min="7817" max="7817" width="15.28515625" style="1" customWidth="1"/>
    <col min="7818" max="7818" width="0.7109375" style="1" customWidth="1"/>
    <col min="7819" max="7819" width="15.28515625" style="1" customWidth="1"/>
    <col min="7820" max="7820" width="14.42578125" style="1" bestFit="1" customWidth="1"/>
    <col min="7821" max="7823" width="16" style="1" customWidth="1"/>
    <col min="7824" max="7824" width="14.42578125" style="1" bestFit="1" customWidth="1"/>
    <col min="7825" max="8061" width="11.42578125" style="1"/>
    <col min="8062" max="8062" width="1.7109375" style="1" customWidth="1"/>
    <col min="8063" max="8063" width="45.42578125" style="1" customWidth="1"/>
    <col min="8064" max="8064" width="1.140625" style="1" customWidth="1"/>
    <col min="8065" max="8065" width="16.5703125" style="1" customWidth="1"/>
    <col min="8066" max="8066" width="0.7109375" style="1" customWidth="1"/>
    <col min="8067" max="8067" width="16.5703125" style="1" customWidth="1"/>
    <col min="8068" max="8068" width="0.7109375" style="1" customWidth="1"/>
    <col min="8069" max="8069" width="18" style="1" customWidth="1"/>
    <col min="8070" max="8070" width="1.140625" style="1" customWidth="1"/>
    <col min="8071" max="8071" width="15.28515625" style="1" customWidth="1"/>
    <col min="8072" max="8072" width="0.7109375" style="1" customWidth="1"/>
    <col min="8073" max="8073" width="15.28515625" style="1" customWidth="1"/>
    <col min="8074" max="8074" width="0.7109375" style="1" customWidth="1"/>
    <col min="8075" max="8075" width="15.28515625" style="1" customWidth="1"/>
    <col min="8076" max="8076" width="14.42578125" style="1" bestFit="1" customWidth="1"/>
    <col min="8077" max="8079" width="16" style="1" customWidth="1"/>
    <col min="8080" max="8080" width="14.42578125" style="1" bestFit="1" customWidth="1"/>
    <col min="8081" max="8317" width="11.42578125" style="1"/>
    <col min="8318" max="8318" width="1.7109375" style="1" customWidth="1"/>
    <col min="8319" max="8319" width="45.42578125" style="1" customWidth="1"/>
    <col min="8320" max="8320" width="1.140625" style="1" customWidth="1"/>
    <col min="8321" max="8321" width="16.5703125" style="1" customWidth="1"/>
    <col min="8322" max="8322" width="0.7109375" style="1" customWidth="1"/>
    <col min="8323" max="8323" width="16.5703125" style="1" customWidth="1"/>
    <col min="8324" max="8324" width="0.7109375" style="1" customWidth="1"/>
    <col min="8325" max="8325" width="18" style="1" customWidth="1"/>
    <col min="8326" max="8326" width="1.140625" style="1" customWidth="1"/>
    <col min="8327" max="8327" width="15.28515625" style="1" customWidth="1"/>
    <col min="8328" max="8328" width="0.7109375" style="1" customWidth="1"/>
    <col min="8329" max="8329" width="15.28515625" style="1" customWidth="1"/>
    <col min="8330" max="8330" width="0.7109375" style="1" customWidth="1"/>
    <col min="8331" max="8331" width="15.28515625" style="1" customWidth="1"/>
    <col min="8332" max="8332" width="14.42578125" style="1" bestFit="1" customWidth="1"/>
    <col min="8333" max="8335" width="16" style="1" customWidth="1"/>
    <col min="8336" max="8336" width="14.42578125" style="1" bestFit="1" customWidth="1"/>
    <col min="8337" max="8573" width="11.42578125" style="1"/>
    <col min="8574" max="8574" width="1.7109375" style="1" customWidth="1"/>
    <col min="8575" max="8575" width="45.42578125" style="1" customWidth="1"/>
    <col min="8576" max="8576" width="1.140625" style="1" customWidth="1"/>
    <col min="8577" max="8577" width="16.5703125" style="1" customWidth="1"/>
    <col min="8578" max="8578" width="0.7109375" style="1" customWidth="1"/>
    <col min="8579" max="8579" width="16.5703125" style="1" customWidth="1"/>
    <col min="8580" max="8580" width="0.7109375" style="1" customWidth="1"/>
    <col min="8581" max="8581" width="18" style="1" customWidth="1"/>
    <col min="8582" max="8582" width="1.140625" style="1" customWidth="1"/>
    <col min="8583" max="8583" width="15.28515625" style="1" customWidth="1"/>
    <col min="8584" max="8584" width="0.7109375" style="1" customWidth="1"/>
    <col min="8585" max="8585" width="15.28515625" style="1" customWidth="1"/>
    <col min="8586" max="8586" width="0.7109375" style="1" customWidth="1"/>
    <col min="8587" max="8587" width="15.28515625" style="1" customWidth="1"/>
    <col min="8588" max="8588" width="14.42578125" style="1" bestFit="1" customWidth="1"/>
    <col min="8589" max="8591" width="16" style="1" customWidth="1"/>
    <col min="8592" max="8592" width="14.42578125" style="1" bestFit="1" customWidth="1"/>
    <col min="8593" max="8829" width="11.42578125" style="1"/>
    <col min="8830" max="8830" width="1.7109375" style="1" customWidth="1"/>
    <col min="8831" max="8831" width="45.42578125" style="1" customWidth="1"/>
    <col min="8832" max="8832" width="1.140625" style="1" customWidth="1"/>
    <col min="8833" max="8833" width="16.5703125" style="1" customWidth="1"/>
    <col min="8834" max="8834" width="0.7109375" style="1" customWidth="1"/>
    <col min="8835" max="8835" width="16.5703125" style="1" customWidth="1"/>
    <col min="8836" max="8836" width="0.7109375" style="1" customWidth="1"/>
    <col min="8837" max="8837" width="18" style="1" customWidth="1"/>
    <col min="8838" max="8838" width="1.140625" style="1" customWidth="1"/>
    <col min="8839" max="8839" width="15.28515625" style="1" customWidth="1"/>
    <col min="8840" max="8840" width="0.7109375" style="1" customWidth="1"/>
    <col min="8841" max="8841" width="15.28515625" style="1" customWidth="1"/>
    <col min="8842" max="8842" width="0.7109375" style="1" customWidth="1"/>
    <col min="8843" max="8843" width="15.28515625" style="1" customWidth="1"/>
    <col min="8844" max="8844" width="14.42578125" style="1" bestFit="1" customWidth="1"/>
    <col min="8845" max="8847" width="16" style="1" customWidth="1"/>
    <col min="8848" max="8848" width="14.42578125" style="1" bestFit="1" customWidth="1"/>
    <col min="8849" max="9085" width="11.42578125" style="1"/>
    <col min="9086" max="9086" width="1.7109375" style="1" customWidth="1"/>
    <col min="9087" max="9087" width="45.42578125" style="1" customWidth="1"/>
    <col min="9088" max="9088" width="1.140625" style="1" customWidth="1"/>
    <col min="9089" max="9089" width="16.5703125" style="1" customWidth="1"/>
    <col min="9090" max="9090" width="0.7109375" style="1" customWidth="1"/>
    <col min="9091" max="9091" width="16.5703125" style="1" customWidth="1"/>
    <col min="9092" max="9092" width="0.7109375" style="1" customWidth="1"/>
    <col min="9093" max="9093" width="18" style="1" customWidth="1"/>
    <col min="9094" max="9094" width="1.140625" style="1" customWidth="1"/>
    <col min="9095" max="9095" width="15.28515625" style="1" customWidth="1"/>
    <col min="9096" max="9096" width="0.7109375" style="1" customWidth="1"/>
    <col min="9097" max="9097" width="15.28515625" style="1" customWidth="1"/>
    <col min="9098" max="9098" width="0.7109375" style="1" customWidth="1"/>
    <col min="9099" max="9099" width="15.28515625" style="1" customWidth="1"/>
    <col min="9100" max="9100" width="14.42578125" style="1" bestFit="1" customWidth="1"/>
    <col min="9101" max="9103" width="16" style="1" customWidth="1"/>
    <col min="9104" max="9104" width="14.42578125" style="1" bestFit="1" customWidth="1"/>
    <col min="9105" max="9341" width="11.42578125" style="1"/>
    <col min="9342" max="9342" width="1.7109375" style="1" customWidth="1"/>
    <col min="9343" max="9343" width="45.42578125" style="1" customWidth="1"/>
    <col min="9344" max="9344" width="1.140625" style="1" customWidth="1"/>
    <col min="9345" max="9345" width="16.5703125" style="1" customWidth="1"/>
    <col min="9346" max="9346" width="0.7109375" style="1" customWidth="1"/>
    <col min="9347" max="9347" width="16.5703125" style="1" customWidth="1"/>
    <col min="9348" max="9348" width="0.7109375" style="1" customWidth="1"/>
    <col min="9349" max="9349" width="18" style="1" customWidth="1"/>
    <col min="9350" max="9350" width="1.140625" style="1" customWidth="1"/>
    <col min="9351" max="9351" width="15.28515625" style="1" customWidth="1"/>
    <col min="9352" max="9352" width="0.7109375" style="1" customWidth="1"/>
    <col min="9353" max="9353" width="15.28515625" style="1" customWidth="1"/>
    <col min="9354" max="9354" width="0.7109375" style="1" customWidth="1"/>
    <col min="9355" max="9355" width="15.28515625" style="1" customWidth="1"/>
    <col min="9356" max="9356" width="14.42578125" style="1" bestFit="1" customWidth="1"/>
    <col min="9357" max="9359" width="16" style="1" customWidth="1"/>
    <col min="9360" max="9360" width="14.42578125" style="1" bestFit="1" customWidth="1"/>
    <col min="9361" max="9597" width="11.42578125" style="1"/>
    <col min="9598" max="9598" width="1.7109375" style="1" customWidth="1"/>
    <col min="9599" max="9599" width="45.42578125" style="1" customWidth="1"/>
    <col min="9600" max="9600" width="1.140625" style="1" customWidth="1"/>
    <col min="9601" max="9601" width="16.5703125" style="1" customWidth="1"/>
    <col min="9602" max="9602" width="0.7109375" style="1" customWidth="1"/>
    <col min="9603" max="9603" width="16.5703125" style="1" customWidth="1"/>
    <col min="9604" max="9604" width="0.7109375" style="1" customWidth="1"/>
    <col min="9605" max="9605" width="18" style="1" customWidth="1"/>
    <col min="9606" max="9606" width="1.140625" style="1" customWidth="1"/>
    <col min="9607" max="9607" width="15.28515625" style="1" customWidth="1"/>
    <col min="9608" max="9608" width="0.7109375" style="1" customWidth="1"/>
    <col min="9609" max="9609" width="15.28515625" style="1" customWidth="1"/>
    <col min="9610" max="9610" width="0.7109375" style="1" customWidth="1"/>
    <col min="9611" max="9611" width="15.28515625" style="1" customWidth="1"/>
    <col min="9612" max="9612" width="14.42578125" style="1" bestFit="1" customWidth="1"/>
    <col min="9613" max="9615" width="16" style="1" customWidth="1"/>
    <col min="9616" max="9616" width="14.42578125" style="1" bestFit="1" customWidth="1"/>
    <col min="9617" max="9853" width="11.42578125" style="1"/>
    <col min="9854" max="9854" width="1.7109375" style="1" customWidth="1"/>
    <col min="9855" max="9855" width="45.42578125" style="1" customWidth="1"/>
    <col min="9856" max="9856" width="1.140625" style="1" customWidth="1"/>
    <col min="9857" max="9857" width="16.5703125" style="1" customWidth="1"/>
    <col min="9858" max="9858" width="0.7109375" style="1" customWidth="1"/>
    <col min="9859" max="9859" width="16.5703125" style="1" customWidth="1"/>
    <col min="9860" max="9860" width="0.7109375" style="1" customWidth="1"/>
    <col min="9861" max="9861" width="18" style="1" customWidth="1"/>
    <col min="9862" max="9862" width="1.140625" style="1" customWidth="1"/>
    <col min="9863" max="9863" width="15.28515625" style="1" customWidth="1"/>
    <col min="9864" max="9864" width="0.7109375" style="1" customWidth="1"/>
    <col min="9865" max="9865" width="15.28515625" style="1" customWidth="1"/>
    <col min="9866" max="9866" width="0.7109375" style="1" customWidth="1"/>
    <col min="9867" max="9867" width="15.28515625" style="1" customWidth="1"/>
    <col min="9868" max="9868" width="14.42578125" style="1" bestFit="1" customWidth="1"/>
    <col min="9869" max="9871" width="16" style="1" customWidth="1"/>
    <col min="9872" max="9872" width="14.42578125" style="1" bestFit="1" customWidth="1"/>
    <col min="9873" max="10109" width="11.42578125" style="1"/>
    <col min="10110" max="10110" width="1.7109375" style="1" customWidth="1"/>
    <col min="10111" max="10111" width="45.42578125" style="1" customWidth="1"/>
    <col min="10112" max="10112" width="1.140625" style="1" customWidth="1"/>
    <col min="10113" max="10113" width="16.5703125" style="1" customWidth="1"/>
    <col min="10114" max="10114" width="0.7109375" style="1" customWidth="1"/>
    <col min="10115" max="10115" width="16.5703125" style="1" customWidth="1"/>
    <col min="10116" max="10116" width="0.7109375" style="1" customWidth="1"/>
    <col min="10117" max="10117" width="18" style="1" customWidth="1"/>
    <col min="10118" max="10118" width="1.140625" style="1" customWidth="1"/>
    <col min="10119" max="10119" width="15.28515625" style="1" customWidth="1"/>
    <col min="10120" max="10120" width="0.7109375" style="1" customWidth="1"/>
    <col min="10121" max="10121" width="15.28515625" style="1" customWidth="1"/>
    <col min="10122" max="10122" width="0.7109375" style="1" customWidth="1"/>
    <col min="10123" max="10123" width="15.28515625" style="1" customWidth="1"/>
    <col min="10124" max="10124" width="14.42578125" style="1" bestFit="1" customWidth="1"/>
    <col min="10125" max="10127" width="16" style="1" customWidth="1"/>
    <col min="10128" max="10128" width="14.42578125" style="1" bestFit="1" customWidth="1"/>
    <col min="10129" max="10365" width="11.42578125" style="1"/>
    <col min="10366" max="10366" width="1.7109375" style="1" customWidth="1"/>
    <col min="10367" max="10367" width="45.42578125" style="1" customWidth="1"/>
    <col min="10368" max="10368" width="1.140625" style="1" customWidth="1"/>
    <col min="10369" max="10369" width="16.5703125" style="1" customWidth="1"/>
    <col min="10370" max="10370" width="0.7109375" style="1" customWidth="1"/>
    <col min="10371" max="10371" width="16.5703125" style="1" customWidth="1"/>
    <col min="10372" max="10372" width="0.7109375" style="1" customWidth="1"/>
    <col min="10373" max="10373" width="18" style="1" customWidth="1"/>
    <col min="10374" max="10374" width="1.140625" style="1" customWidth="1"/>
    <col min="10375" max="10375" width="15.28515625" style="1" customWidth="1"/>
    <col min="10376" max="10376" width="0.7109375" style="1" customWidth="1"/>
    <col min="10377" max="10377" width="15.28515625" style="1" customWidth="1"/>
    <col min="10378" max="10378" width="0.7109375" style="1" customWidth="1"/>
    <col min="10379" max="10379" width="15.28515625" style="1" customWidth="1"/>
    <col min="10380" max="10380" width="14.42578125" style="1" bestFit="1" customWidth="1"/>
    <col min="10381" max="10383" width="16" style="1" customWidth="1"/>
    <col min="10384" max="10384" width="14.42578125" style="1" bestFit="1" customWidth="1"/>
    <col min="10385" max="10621" width="11.42578125" style="1"/>
    <col min="10622" max="10622" width="1.7109375" style="1" customWidth="1"/>
    <col min="10623" max="10623" width="45.42578125" style="1" customWidth="1"/>
    <col min="10624" max="10624" width="1.140625" style="1" customWidth="1"/>
    <col min="10625" max="10625" width="16.5703125" style="1" customWidth="1"/>
    <col min="10626" max="10626" width="0.7109375" style="1" customWidth="1"/>
    <col min="10627" max="10627" width="16.5703125" style="1" customWidth="1"/>
    <col min="10628" max="10628" width="0.7109375" style="1" customWidth="1"/>
    <col min="10629" max="10629" width="18" style="1" customWidth="1"/>
    <col min="10630" max="10630" width="1.140625" style="1" customWidth="1"/>
    <col min="10631" max="10631" width="15.28515625" style="1" customWidth="1"/>
    <col min="10632" max="10632" width="0.7109375" style="1" customWidth="1"/>
    <col min="10633" max="10633" width="15.28515625" style="1" customWidth="1"/>
    <col min="10634" max="10634" width="0.7109375" style="1" customWidth="1"/>
    <col min="10635" max="10635" width="15.28515625" style="1" customWidth="1"/>
    <col min="10636" max="10636" width="14.42578125" style="1" bestFit="1" customWidth="1"/>
    <col min="10637" max="10639" width="16" style="1" customWidth="1"/>
    <col min="10640" max="10640" width="14.42578125" style="1" bestFit="1" customWidth="1"/>
    <col min="10641" max="10877" width="11.42578125" style="1"/>
    <col min="10878" max="10878" width="1.7109375" style="1" customWidth="1"/>
    <col min="10879" max="10879" width="45.42578125" style="1" customWidth="1"/>
    <col min="10880" max="10880" width="1.140625" style="1" customWidth="1"/>
    <col min="10881" max="10881" width="16.5703125" style="1" customWidth="1"/>
    <col min="10882" max="10882" width="0.7109375" style="1" customWidth="1"/>
    <col min="10883" max="10883" width="16.5703125" style="1" customWidth="1"/>
    <col min="10884" max="10884" width="0.7109375" style="1" customWidth="1"/>
    <col min="10885" max="10885" width="18" style="1" customWidth="1"/>
    <col min="10886" max="10886" width="1.140625" style="1" customWidth="1"/>
    <col min="10887" max="10887" width="15.28515625" style="1" customWidth="1"/>
    <col min="10888" max="10888" width="0.7109375" style="1" customWidth="1"/>
    <col min="10889" max="10889" width="15.28515625" style="1" customWidth="1"/>
    <col min="10890" max="10890" width="0.7109375" style="1" customWidth="1"/>
    <col min="10891" max="10891" width="15.28515625" style="1" customWidth="1"/>
    <col min="10892" max="10892" width="14.42578125" style="1" bestFit="1" customWidth="1"/>
    <col min="10893" max="10895" width="16" style="1" customWidth="1"/>
    <col min="10896" max="10896" width="14.42578125" style="1" bestFit="1" customWidth="1"/>
    <col min="10897" max="11133" width="11.42578125" style="1"/>
    <col min="11134" max="11134" width="1.7109375" style="1" customWidth="1"/>
    <col min="11135" max="11135" width="45.42578125" style="1" customWidth="1"/>
    <col min="11136" max="11136" width="1.140625" style="1" customWidth="1"/>
    <col min="11137" max="11137" width="16.5703125" style="1" customWidth="1"/>
    <col min="11138" max="11138" width="0.7109375" style="1" customWidth="1"/>
    <col min="11139" max="11139" width="16.5703125" style="1" customWidth="1"/>
    <col min="11140" max="11140" width="0.7109375" style="1" customWidth="1"/>
    <col min="11141" max="11141" width="18" style="1" customWidth="1"/>
    <col min="11142" max="11142" width="1.140625" style="1" customWidth="1"/>
    <col min="11143" max="11143" width="15.28515625" style="1" customWidth="1"/>
    <col min="11144" max="11144" width="0.7109375" style="1" customWidth="1"/>
    <col min="11145" max="11145" width="15.28515625" style="1" customWidth="1"/>
    <col min="11146" max="11146" width="0.7109375" style="1" customWidth="1"/>
    <col min="11147" max="11147" width="15.28515625" style="1" customWidth="1"/>
    <col min="11148" max="11148" width="14.42578125" style="1" bestFit="1" customWidth="1"/>
    <col min="11149" max="11151" width="16" style="1" customWidth="1"/>
    <col min="11152" max="11152" width="14.42578125" style="1" bestFit="1" customWidth="1"/>
    <col min="11153" max="11389" width="11.42578125" style="1"/>
    <col min="11390" max="11390" width="1.7109375" style="1" customWidth="1"/>
    <col min="11391" max="11391" width="45.42578125" style="1" customWidth="1"/>
    <col min="11392" max="11392" width="1.140625" style="1" customWidth="1"/>
    <col min="11393" max="11393" width="16.5703125" style="1" customWidth="1"/>
    <col min="11394" max="11394" width="0.7109375" style="1" customWidth="1"/>
    <col min="11395" max="11395" width="16.5703125" style="1" customWidth="1"/>
    <col min="11396" max="11396" width="0.7109375" style="1" customWidth="1"/>
    <col min="11397" max="11397" width="18" style="1" customWidth="1"/>
    <col min="11398" max="11398" width="1.140625" style="1" customWidth="1"/>
    <col min="11399" max="11399" width="15.28515625" style="1" customWidth="1"/>
    <col min="11400" max="11400" width="0.7109375" style="1" customWidth="1"/>
    <col min="11401" max="11401" width="15.28515625" style="1" customWidth="1"/>
    <col min="11402" max="11402" width="0.7109375" style="1" customWidth="1"/>
    <col min="11403" max="11403" width="15.28515625" style="1" customWidth="1"/>
    <col min="11404" max="11404" width="14.42578125" style="1" bestFit="1" customWidth="1"/>
    <col min="11405" max="11407" width="16" style="1" customWidth="1"/>
    <col min="11408" max="11408" width="14.42578125" style="1" bestFit="1" customWidth="1"/>
    <col min="11409" max="11645" width="11.42578125" style="1"/>
    <col min="11646" max="11646" width="1.7109375" style="1" customWidth="1"/>
    <col min="11647" max="11647" width="45.42578125" style="1" customWidth="1"/>
    <col min="11648" max="11648" width="1.140625" style="1" customWidth="1"/>
    <col min="11649" max="11649" width="16.5703125" style="1" customWidth="1"/>
    <col min="11650" max="11650" width="0.7109375" style="1" customWidth="1"/>
    <col min="11651" max="11651" width="16.5703125" style="1" customWidth="1"/>
    <col min="11652" max="11652" width="0.7109375" style="1" customWidth="1"/>
    <col min="11653" max="11653" width="18" style="1" customWidth="1"/>
    <col min="11654" max="11654" width="1.140625" style="1" customWidth="1"/>
    <col min="11655" max="11655" width="15.28515625" style="1" customWidth="1"/>
    <col min="11656" max="11656" width="0.7109375" style="1" customWidth="1"/>
    <col min="11657" max="11657" width="15.28515625" style="1" customWidth="1"/>
    <col min="11658" max="11658" width="0.7109375" style="1" customWidth="1"/>
    <col min="11659" max="11659" width="15.28515625" style="1" customWidth="1"/>
    <col min="11660" max="11660" width="14.42578125" style="1" bestFit="1" customWidth="1"/>
    <col min="11661" max="11663" width="16" style="1" customWidth="1"/>
    <col min="11664" max="11664" width="14.42578125" style="1" bestFit="1" customWidth="1"/>
    <col min="11665" max="11901" width="11.42578125" style="1"/>
    <col min="11902" max="11902" width="1.7109375" style="1" customWidth="1"/>
    <col min="11903" max="11903" width="45.42578125" style="1" customWidth="1"/>
    <col min="11904" max="11904" width="1.140625" style="1" customWidth="1"/>
    <col min="11905" max="11905" width="16.5703125" style="1" customWidth="1"/>
    <col min="11906" max="11906" width="0.7109375" style="1" customWidth="1"/>
    <col min="11907" max="11907" width="16.5703125" style="1" customWidth="1"/>
    <col min="11908" max="11908" width="0.7109375" style="1" customWidth="1"/>
    <col min="11909" max="11909" width="18" style="1" customWidth="1"/>
    <col min="11910" max="11910" width="1.140625" style="1" customWidth="1"/>
    <col min="11911" max="11911" width="15.28515625" style="1" customWidth="1"/>
    <col min="11912" max="11912" width="0.7109375" style="1" customWidth="1"/>
    <col min="11913" max="11913" width="15.28515625" style="1" customWidth="1"/>
    <col min="11914" max="11914" width="0.7109375" style="1" customWidth="1"/>
    <col min="11915" max="11915" width="15.28515625" style="1" customWidth="1"/>
    <col min="11916" max="11916" width="14.42578125" style="1" bestFit="1" customWidth="1"/>
    <col min="11917" max="11919" width="16" style="1" customWidth="1"/>
    <col min="11920" max="11920" width="14.42578125" style="1" bestFit="1" customWidth="1"/>
    <col min="11921" max="12157" width="11.42578125" style="1"/>
    <col min="12158" max="12158" width="1.7109375" style="1" customWidth="1"/>
    <col min="12159" max="12159" width="45.42578125" style="1" customWidth="1"/>
    <col min="12160" max="12160" width="1.140625" style="1" customWidth="1"/>
    <col min="12161" max="12161" width="16.5703125" style="1" customWidth="1"/>
    <col min="12162" max="12162" width="0.7109375" style="1" customWidth="1"/>
    <col min="12163" max="12163" width="16.5703125" style="1" customWidth="1"/>
    <col min="12164" max="12164" width="0.7109375" style="1" customWidth="1"/>
    <col min="12165" max="12165" width="18" style="1" customWidth="1"/>
    <col min="12166" max="12166" width="1.140625" style="1" customWidth="1"/>
    <col min="12167" max="12167" width="15.28515625" style="1" customWidth="1"/>
    <col min="12168" max="12168" width="0.7109375" style="1" customWidth="1"/>
    <col min="12169" max="12169" width="15.28515625" style="1" customWidth="1"/>
    <col min="12170" max="12170" width="0.7109375" style="1" customWidth="1"/>
    <col min="12171" max="12171" width="15.28515625" style="1" customWidth="1"/>
    <col min="12172" max="12172" width="14.42578125" style="1" bestFit="1" customWidth="1"/>
    <col min="12173" max="12175" width="16" style="1" customWidth="1"/>
    <col min="12176" max="12176" width="14.42578125" style="1" bestFit="1" customWidth="1"/>
    <col min="12177" max="12413" width="11.42578125" style="1"/>
    <col min="12414" max="12414" width="1.7109375" style="1" customWidth="1"/>
    <col min="12415" max="12415" width="45.42578125" style="1" customWidth="1"/>
    <col min="12416" max="12416" width="1.140625" style="1" customWidth="1"/>
    <col min="12417" max="12417" width="16.5703125" style="1" customWidth="1"/>
    <col min="12418" max="12418" width="0.7109375" style="1" customWidth="1"/>
    <col min="12419" max="12419" width="16.5703125" style="1" customWidth="1"/>
    <col min="12420" max="12420" width="0.7109375" style="1" customWidth="1"/>
    <col min="12421" max="12421" width="18" style="1" customWidth="1"/>
    <col min="12422" max="12422" width="1.140625" style="1" customWidth="1"/>
    <col min="12423" max="12423" width="15.28515625" style="1" customWidth="1"/>
    <col min="12424" max="12424" width="0.7109375" style="1" customWidth="1"/>
    <col min="12425" max="12425" width="15.28515625" style="1" customWidth="1"/>
    <col min="12426" max="12426" width="0.7109375" style="1" customWidth="1"/>
    <col min="12427" max="12427" width="15.28515625" style="1" customWidth="1"/>
    <col min="12428" max="12428" width="14.42578125" style="1" bestFit="1" customWidth="1"/>
    <col min="12429" max="12431" width="16" style="1" customWidth="1"/>
    <col min="12432" max="12432" width="14.42578125" style="1" bestFit="1" customWidth="1"/>
    <col min="12433" max="12669" width="11.42578125" style="1"/>
    <col min="12670" max="12670" width="1.7109375" style="1" customWidth="1"/>
    <col min="12671" max="12671" width="45.42578125" style="1" customWidth="1"/>
    <col min="12672" max="12672" width="1.140625" style="1" customWidth="1"/>
    <col min="12673" max="12673" width="16.5703125" style="1" customWidth="1"/>
    <col min="12674" max="12674" width="0.7109375" style="1" customWidth="1"/>
    <col min="12675" max="12675" width="16.5703125" style="1" customWidth="1"/>
    <col min="12676" max="12676" width="0.7109375" style="1" customWidth="1"/>
    <col min="12677" max="12677" width="18" style="1" customWidth="1"/>
    <col min="12678" max="12678" width="1.140625" style="1" customWidth="1"/>
    <col min="12679" max="12679" width="15.28515625" style="1" customWidth="1"/>
    <col min="12680" max="12680" width="0.7109375" style="1" customWidth="1"/>
    <col min="12681" max="12681" width="15.28515625" style="1" customWidth="1"/>
    <col min="12682" max="12682" width="0.7109375" style="1" customWidth="1"/>
    <col min="12683" max="12683" width="15.28515625" style="1" customWidth="1"/>
    <col min="12684" max="12684" width="14.42578125" style="1" bestFit="1" customWidth="1"/>
    <col min="12685" max="12687" width="16" style="1" customWidth="1"/>
    <col min="12688" max="12688" width="14.42578125" style="1" bestFit="1" customWidth="1"/>
    <col min="12689" max="12925" width="11.42578125" style="1"/>
    <col min="12926" max="12926" width="1.7109375" style="1" customWidth="1"/>
    <col min="12927" max="12927" width="45.42578125" style="1" customWidth="1"/>
    <col min="12928" max="12928" width="1.140625" style="1" customWidth="1"/>
    <col min="12929" max="12929" width="16.5703125" style="1" customWidth="1"/>
    <col min="12930" max="12930" width="0.7109375" style="1" customWidth="1"/>
    <col min="12931" max="12931" width="16.5703125" style="1" customWidth="1"/>
    <col min="12932" max="12932" width="0.7109375" style="1" customWidth="1"/>
    <col min="12933" max="12933" width="18" style="1" customWidth="1"/>
    <col min="12934" max="12934" width="1.140625" style="1" customWidth="1"/>
    <col min="12935" max="12935" width="15.28515625" style="1" customWidth="1"/>
    <col min="12936" max="12936" width="0.7109375" style="1" customWidth="1"/>
    <col min="12937" max="12937" width="15.28515625" style="1" customWidth="1"/>
    <col min="12938" max="12938" width="0.7109375" style="1" customWidth="1"/>
    <col min="12939" max="12939" width="15.28515625" style="1" customWidth="1"/>
    <col min="12940" max="12940" width="14.42578125" style="1" bestFit="1" customWidth="1"/>
    <col min="12941" max="12943" width="16" style="1" customWidth="1"/>
    <col min="12944" max="12944" width="14.42578125" style="1" bestFit="1" customWidth="1"/>
    <col min="12945" max="13181" width="11.42578125" style="1"/>
    <col min="13182" max="13182" width="1.7109375" style="1" customWidth="1"/>
    <col min="13183" max="13183" width="45.42578125" style="1" customWidth="1"/>
    <col min="13184" max="13184" width="1.140625" style="1" customWidth="1"/>
    <col min="13185" max="13185" width="16.5703125" style="1" customWidth="1"/>
    <col min="13186" max="13186" width="0.7109375" style="1" customWidth="1"/>
    <col min="13187" max="13187" width="16.5703125" style="1" customWidth="1"/>
    <col min="13188" max="13188" width="0.7109375" style="1" customWidth="1"/>
    <col min="13189" max="13189" width="18" style="1" customWidth="1"/>
    <col min="13190" max="13190" width="1.140625" style="1" customWidth="1"/>
    <col min="13191" max="13191" width="15.28515625" style="1" customWidth="1"/>
    <col min="13192" max="13192" width="0.7109375" style="1" customWidth="1"/>
    <col min="13193" max="13193" width="15.28515625" style="1" customWidth="1"/>
    <col min="13194" max="13194" width="0.7109375" style="1" customWidth="1"/>
    <col min="13195" max="13195" width="15.28515625" style="1" customWidth="1"/>
    <col min="13196" max="13196" width="14.42578125" style="1" bestFit="1" customWidth="1"/>
    <col min="13197" max="13199" width="16" style="1" customWidth="1"/>
    <col min="13200" max="13200" width="14.42578125" style="1" bestFit="1" customWidth="1"/>
    <col min="13201" max="13437" width="11.42578125" style="1"/>
    <col min="13438" max="13438" width="1.7109375" style="1" customWidth="1"/>
    <col min="13439" max="13439" width="45.42578125" style="1" customWidth="1"/>
    <col min="13440" max="13440" width="1.140625" style="1" customWidth="1"/>
    <col min="13441" max="13441" width="16.5703125" style="1" customWidth="1"/>
    <col min="13442" max="13442" width="0.7109375" style="1" customWidth="1"/>
    <col min="13443" max="13443" width="16.5703125" style="1" customWidth="1"/>
    <col min="13444" max="13444" width="0.7109375" style="1" customWidth="1"/>
    <col min="13445" max="13445" width="18" style="1" customWidth="1"/>
    <col min="13446" max="13446" width="1.140625" style="1" customWidth="1"/>
    <col min="13447" max="13447" width="15.28515625" style="1" customWidth="1"/>
    <col min="13448" max="13448" width="0.7109375" style="1" customWidth="1"/>
    <col min="13449" max="13449" width="15.28515625" style="1" customWidth="1"/>
    <col min="13450" max="13450" width="0.7109375" style="1" customWidth="1"/>
    <col min="13451" max="13451" width="15.28515625" style="1" customWidth="1"/>
    <col min="13452" max="13452" width="14.42578125" style="1" bestFit="1" customWidth="1"/>
    <col min="13453" max="13455" width="16" style="1" customWidth="1"/>
    <col min="13456" max="13456" width="14.42578125" style="1" bestFit="1" customWidth="1"/>
    <col min="13457" max="13693" width="11.42578125" style="1"/>
    <col min="13694" max="13694" width="1.7109375" style="1" customWidth="1"/>
    <col min="13695" max="13695" width="45.42578125" style="1" customWidth="1"/>
    <col min="13696" max="13696" width="1.140625" style="1" customWidth="1"/>
    <col min="13697" max="13697" width="16.5703125" style="1" customWidth="1"/>
    <col min="13698" max="13698" width="0.7109375" style="1" customWidth="1"/>
    <col min="13699" max="13699" width="16.5703125" style="1" customWidth="1"/>
    <col min="13700" max="13700" width="0.7109375" style="1" customWidth="1"/>
    <col min="13701" max="13701" width="18" style="1" customWidth="1"/>
    <col min="13702" max="13702" width="1.140625" style="1" customWidth="1"/>
    <col min="13703" max="13703" width="15.28515625" style="1" customWidth="1"/>
    <col min="13704" max="13704" width="0.7109375" style="1" customWidth="1"/>
    <col min="13705" max="13705" width="15.28515625" style="1" customWidth="1"/>
    <col min="13706" max="13706" width="0.7109375" style="1" customWidth="1"/>
    <col min="13707" max="13707" width="15.28515625" style="1" customWidth="1"/>
    <col min="13708" max="13708" width="14.42578125" style="1" bestFit="1" customWidth="1"/>
    <col min="13709" max="13711" width="16" style="1" customWidth="1"/>
    <col min="13712" max="13712" width="14.42578125" style="1" bestFit="1" customWidth="1"/>
    <col min="13713" max="13949" width="11.42578125" style="1"/>
    <col min="13950" max="13950" width="1.7109375" style="1" customWidth="1"/>
    <col min="13951" max="13951" width="45.42578125" style="1" customWidth="1"/>
    <col min="13952" max="13952" width="1.140625" style="1" customWidth="1"/>
    <col min="13953" max="13953" width="16.5703125" style="1" customWidth="1"/>
    <col min="13954" max="13954" width="0.7109375" style="1" customWidth="1"/>
    <col min="13955" max="13955" width="16.5703125" style="1" customWidth="1"/>
    <col min="13956" max="13956" width="0.7109375" style="1" customWidth="1"/>
    <col min="13957" max="13957" width="18" style="1" customWidth="1"/>
    <col min="13958" max="13958" width="1.140625" style="1" customWidth="1"/>
    <col min="13959" max="13959" width="15.28515625" style="1" customWidth="1"/>
    <col min="13960" max="13960" width="0.7109375" style="1" customWidth="1"/>
    <col min="13961" max="13961" width="15.28515625" style="1" customWidth="1"/>
    <col min="13962" max="13962" width="0.7109375" style="1" customWidth="1"/>
    <col min="13963" max="13963" width="15.28515625" style="1" customWidth="1"/>
    <col min="13964" max="13964" width="14.42578125" style="1" bestFit="1" customWidth="1"/>
    <col min="13965" max="13967" width="16" style="1" customWidth="1"/>
    <col min="13968" max="13968" width="14.42578125" style="1" bestFit="1" customWidth="1"/>
    <col min="13969" max="14205" width="11.42578125" style="1"/>
    <col min="14206" max="14206" width="1.7109375" style="1" customWidth="1"/>
    <col min="14207" max="14207" width="45.42578125" style="1" customWidth="1"/>
    <col min="14208" max="14208" width="1.140625" style="1" customWidth="1"/>
    <col min="14209" max="14209" width="16.5703125" style="1" customWidth="1"/>
    <col min="14210" max="14210" width="0.7109375" style="1" customWidth="1"/>
    <col min="14211" max="14211" width="16.5703125" style="1" customWidth="1"/>
    <col min="14212" max="14212" width="0.7109375" style="1" customWidth="1"/>
    <col min="14213" max="14213" width="18" style="1" customWidth="1"/>
    <col min="14214" max="14214" width="1.140625" style="1" customWidth="1"/>
    <col min="14215" max="14215" width="15.28515625" style="1" customWidth="1"/>
    <col min="14216" max="14216" width="0.7109375" style="1" customWidth="1"/>
    <col min="14217" max="14217" width="15.28515625" style="1" customWidth="1"/>
    <col min="14218" max="14218" width="0.7109375" style="1" customWidth="1"/>
    <col min="14219" max="14219" width="15.28515625" style="1" customWidth="1"/>
    <col min="14220" max="14220" width="14.42578125" style="1" bestFit="1" customWidth="1"/>
    <col min="14221" max="14223" width="16" style="1" customWidth="1"/>
    <col min="14224" max="14224" width="14.42578125" style="1" bestFit="1" customWidth="1"/>
    <col min="14225" max="14461" width="11.42578125" style="1"/>
    <col min="14462" max="14462" width="1.7109375" style="1" customWidth="1"/>
    <col min="14463" max="14463" width="45.42578125" style="1" customWidth="1"/>
    <col min="14464" max="14464" width="1.140625" style="1" customWidth="1"/>
    <col min="14465" max="14465" width="16.5703125" style="1" customWidth="1"/>
    <col min="14466" max="14466" width="0.7109375" style="1" customWidth="1"/>
    <col min="14467" max="14467" width="16.5703125" style="1" customWidth="1"/>
    <col min="14468" max="14468" width="0.7109375" style="1" customWidth="1"/>
    <col min="14469" max="14469" width="18" style="1" customWidth="1"/>
    <col min="14470" max="14470" width="1.140625" style="1" customWidth="1"/>
    <col min="14471" max="14471" width="15.28515625" style="1" customWidth="1"/>
    <col min="14472" max="14472" width="0.7109375" style="1" customWidth="1"/>
    <col min="14473" max="14473" width="15.28515625" style="1" customWidth="1"/>
    <col min="14474" max="14474" width="0.7109375" style="1" customWidth="1"/>
    <col min="14475" max="14475" width="15.28515625" style="1" customWidth="1"/>
    <col min="14476" max="14476" width="14.42578125" style="1" bestFit="1" customWidth="1"/>
    <col min="14477" max="14479" width="16" style="1" customWidth="1"/>
    <col min="14480" max="14480" width="14.42578125" style="1" bestFit="1" customWidth="1"/>
    <col min="14481" max="14717" width="11.42578125" style="1"/>
    <col min="14718" max="14718" width="1.7109375" style="1" customWidth="1"/>
    <col min="14719" max="14719" width="45.42578125" style="1" customWidth="1"/>
    <col min="14720" max="14720" width="1.140625" style="1" customWidth="1"/>
    <col min="14721" max="14721" width="16.5703125" style="1" customWidth="1"/>
    <col min="14722" max="14722" width="0.7109375" style="1" customWidth="1"/>
    <col min="14723" max="14723" width="16.5703125" style="1" customWidth="1"/>
    <col min="14724" max="14724" width="0.7109375" style="1" customWidth="1"/>
    <col min="14725" max="14725" width="18" style="1" customWidth="1"/>
    <col min="14726" max="14726" width="1.140625" style="1" customWidth="1"/>
    <col min="14727" max="14727" width="15.28515625" style="1" customWidth="1"/>
    <col min="14728" max="14728" width="0.7109375" style="1" customWidth="1"/>
    <col min="14729" max="14729" width="15.28515625" style="1" customWidth="1"/>
    <col min="14730" max="14730" width="0.7109375" style="1" customWidth="1"/>
    <col min="14731" max="14731" width="15.28515625" style="1" customWidth="1"/>
    <col min="14732" max="14732" width="14.42578125" style="1" bestFit="1" customWidth="1"/>
    <col min="14733" max="14735" width="16" style="1" customWidth="1"/>
    <col min="14736" max="14736" width="14.42578125" style="1" bestFit="1" customWidth="1"/>
    <col min="14737" max="14973" width="11.42578125" style="1"/>
    <col min="14974" max="14974" width="1.7109375" style="1" customWidth="1"/>
    <col min="14975" max="14975" width="45.42578125" style="1" customWidth="1"/>
    <col min="14976" max="14976" width="1.140625" style="1" customWidth="1"/>
    <col min="14977" max="14977" width="16.5703125" style="1" customWidth="1"/>
    <col min="14978" max="14978" width="0.7109375" style="1" customWidth="1"/>
    <col min="14979" max="14979" width="16.5703125" style="1" customWidth="1"/>
    <col min="14980" max="14980" width="0.7109375" style="1" customWidth="1"/>
    <col min="14981" max="14981" width="18" style="1" customWidth="1"/>
    <col min="14982" max="14982" width="1.140625" style="1" customWidth="1"/>
    <col min="14983" max="14983" width="15.28515625" style="1" customWidth="1"/>
    <col min="14984" max="14984" width="0.7109375" style="1" customWidth="1"/>
    <col min="14985" max="14985" width="15.28515625" style="1" customWidth="1"/>
    <col min="14986" max="14986" width="0.7109375" style="1" customWidth="1"/>
    <col min="14987" max="14987" width="15.28515625" style="1" customWidth="1"/>
    <col min="14988" max="14988" width="14.42578125" style="1" bestFit="1" customWidth="1"/>
    <col min="14989" max="14991" width="16" style="1" customWidth="1"/>
    <col min="14992" max="14992" width="14.42578125" style="1" bestFit="1" customWidth="1"/>
    <col min="14993" max="15229" width="11.42578125" style="1"/>
    <col min="15230" max="15230" width="1.7109375" style="1" customWidth="1"/>
    <col min="15231" max="15231" width="45.42578125" style="1" customWidth="1"/>
    <col min="15232" max="15232" width="1.140625" style="1" customWidth="1"/>
    <col min="15233" max="15233" width="16.5703125" style="1" customWidth="1"/>
    <col min="15234" max="15234" width="0.7109375" style="1" customWidth="1"/>
    <col min="15235" max="15235" width="16.5703125" style="1" customWidth="1"/>
    <col min="15236" max="15236" width="0.7109375" style="1" customWidth="1"/>
    <col min="15237" max="15237" width="18" style="1" customWidth="1"/>
    <col min="15238" max="15238" width="1.140625" style="1" customWidth="1"/>
    <col min="15239" max="15239" width="15.28515625" style="1" customWidth="1"/>
    <col min="15240" max="15240" width="0.7109375" style="1" customWidth="1"/>
    <col min="15241" max="15241" width="15.28515625" style="1" customWidth="1"/>
    <col min="15242" max="15242" width="0.7109375" style="1" customWidth="1"/>
    <col min="15243" max="15243" width="15.28515625" style="1" customWidth="1"/>
    <col min="15244" max="15244" width="14.42578125" style="1" bestFit="1" customWidth="1"/>
    <col min="15245" max="15247" width="16" style="1" customWidth="1"/>
    <col min="15248" max="15248" width="14.42578125" style="1" bestFit="1" customWidth="1"/>
    <col min="15249" max="15485" width="11.42578125" style="1"/>
    <col min="15486" max="15486" width="1.7109375" style="1" customWidth="1"/>
    <col min="15487" max="15487" width="45.42578125" style="1" customWidth="1"/>
    <col min="15488" max="15488" width="1.140625" style="1" customWidth="1"/>
    <col min="15489" max="15489" width="16.5703125" style="1" customWidth="1"/>
    <col min="15490" max="15490" width="0.7109375" style="1" customWidth="1"/>
    <col min="15491" max="15491" width="16.5703125" style="1" customWidth="1"/>
    <col min="15492" max="15492" width="0.7109375" style="1" customWidth="1"/>
    <col min="15493" max="15493" width="18" style="1" customWidth="1"/>
    <col min="15494" max="15494" width="1.140625" style="1" customWidth="1"/>
    <col min="15495" max="15495" width="15.28515625" style="1" customWidth="1"/>
    <col min="15496" max="15496" width="0.7109375" style="1" customWidth="1"/>
    <col min="15497" max="15497" width="15.28515625" style="1" customWidth="1"/>
    <col min="15498" max="15498" width="0.7109375" style="1" customWidth="1"/>
    <col min="15499" max="15499" width="15.28515625" style="1" customWidth="1"/>
    <col min="15500" max="15500" width="14.42578125" style="1" bestFit="1" customWidth="1"/>
    <col min="15501" max="15503" width="16" style="1" customWidth="1"/>
    <col min="15504" max="15504" width="14.42578125" style="1" bestFit="1" customWidth="1"/>
    <col min="15505" max="15741" width="11.42578125" style="1"/>
    <col min="15742" max="15742" width="1.7109375" style="1" customWidth="1"/>
    <col min="15743" max="15743" width="45.42578125" style="1" customWidth="1"/>
    <col min="15744" max="15744" width="1.140625" style="1" customWidth="1"/>
    <col min="15745" max="15745" width="16.5703125" style="1" customWidth="1"/>
    <col min="15746" max="15746" width="0.7109375" style="1" customWidth="1"/>
    <col min="15747" max="15747" width="16.5703125" style="1" customWidth="1"/>
    <col min="15748" max="15748" width="0.7109375" style="1" customWidth="1"/>
    <col min="15749" max="15749" width="18" style="1" customWidth="1"/>
    <col min="15750" max="15750" width="1.140625" style="1" customWidth="1"/>
    <col min="15751" max="15751" width="15.28515625" style="1" customWidth="1"/>
    <col min="15752" max="15752" width="0.7109375" style="1" customWidth="1"/>
    <col min="15753" max="15753" width="15.28515625" style="1" customWidth="1"/>
    <col min="15754" max="15754" width="0.7109375" style="1" customWidth="1"/>
    <col min="15755" max="15755" width="15.28515625" style="1" customWidth="1"/>
    <col min="15756" max="15756" width="14.42578125" style="1" bestFit="1" customWidth="1"/>
    <col min="15757" max="15759" width="16" style="1" customWidth="1"/>
    <col min="15760" max="15760" width="14.42578125" style="1" bestFit="1" customWidth="1"/>
    <col min="15761" max="15997" width="11.42578125" style="1"/>
    <col min="15998" max="15998" width="1.7109375" style="1" customWidth="1"/>
    <col min="15999" max="15999" width="45.42578125" style="1" customWidth="1"/>
    <col min="16000" max="16000" width="1.140625" style="1" customWidth="1"/>
    <col min="16001" max="16001" width="16.5703125" style="1" customWidth="1"/>
    <col min="16002" max="16002" width="0.7109375" style="1" customWidth="1"/>
    <col min="16003" max="16003" width="16.5703125" style="1" customWidth="1"/>
    <col min="16004" max="16004" width="0.7109375" style="1" customWidth="1"/>
    <col min="16005" max="16005" width="18" style="1" customWidth="1"/>
    <col min="16006" max="16006" width="1.140625" style="1" customWidth="1"/>
    <col min="16007" max="16007" width="15.28515625" style="1" customWidth="1"/>
    <col min="16008" max="16008" width="0.7109375" style="1" customWidth="1"/>
    <col min="16009" max="16009" width="15.28515625" style="1" customWidth="1"/>
    <col min="16010" max="16010" width="0.7109375" style="1" customWidth="1"/>
    <col min="16011" max="16011" width="15.28515625" style="1" customWidth="1"/>
    <col min="16012" max="16012" width="14.42578125" style="1" bestFit="1" customWidth="1"/>
    <col min="16013" max="16015" width="16" style="1" customWidth="1"/>
    <col min="16016" max="16016" width="14.42578125" style="1" bestFit="1" customWidth="1"/>
    <col min="16017" max="16384" width="11.42578125" style="1"/>
  </cols>
  <sheetData>
    <row r="1" spans="1:26" ht="7.5" customHeight="1" x14ac:dyDescent="0.2">
      <c r="A1" s="1" t="s">
        <v>0</v>
      </c>
    </row>
    <row r="2" spans="1:26" ht="18" x14ac:dyDescent="0.25">
      <c r="B2" s="87" t="s">
        <v>1</v>
      </c>
      <c r="C2" s="87"/>
      <c r="D2" s="87"/>
      <c r="E2" s="87"/>
      <c r="F2" s="87"/>
      <c r="G2" s="87"/>
      <c r="H2" s="87"/>
      <c r="I2" s="87"/>
      <c r="J2" s="87"/>
      <c r="K2" s="87"/>
      <c r="L2" s="87"/>
      <c r="M2" s="87"/>
      <c r="N2" s="87"/>
    </row>
    <row r="4" spans="1:26" s="2" customFormat="1" ht="20.25" x14ac:dyDescent="0.3">
      <c r="B4" s="88" t="s">
        <v>2</v>
      </c>
      <c r="C4" s="89"/>
      <c r="D4" s="89"/>
      <c r="E4" s="89"/>
      <c r="F4" s="89"/>
      <c r="G4" s="89"/>
      <c r="H4" s="90"/>
      <c r="O4" s="1"/>
      <c r="P4" s="1"/>
      <c r="Q4" s="1"/>
      <c r="R4" s="1"/>
      <c r="S4" s="1"/>
      <c r="T4" s="1"/>
      <c r="U4" s="1"/>
      <c r="V4" s="1"/>
      <c r="W4" s="1"/>
      <c r="X4" s="1"/>
      <c r="Y4" s="1"/>
      <c r="Z4" s="1"/>
    </row>
    <row r="5" spans="1:26" s="2" customFormat="1" ht="20.25" customHeight="1" x14ac:dyDescent="0.3">
      <c r="B5" s="3" t="s">
        <v>38</v>
      </c>
      <c r="N5" s="1"/>
      <c r="O5" s="1"/>
      <c r="P5" s="1"/>
      <c r="Q5" s="1"/>
      <c r="R5" s="1"/>
      <c r="S5" s="1"/>
      <c r="T5" s="1"/>
      <c r="U5" s="1"/>
      <c r="V5" s="1"/>
      <c r="W5" s="1"/>
      <c r="X5" s="1"/>
      <c r="Y5" s="1"/>
      <c r="Z5" s="1"/>
    </row>
    <row r="6" spans="1:26" ht="15" customHeight="1" x14ac:dyDescent="0.2">
      <c r="B6" s="4"/>
    </row>
    <row r="7" spans="1:26" ht="12.75" customHeight="1" x14ac:dyDescent="0.2">
      <c r="B7" s="5"/>
      <c r="C7" s="5"/>
      <c r="D7" s="91" t="s">
        <v>4</v>
      </c>
      <c r="E7" s="91"/>
      <c r="F7" s="92" t="s">
        <v>5</v>
      </c>
      <c r="G7" s="92"/>
      <c r="H7" s="93" t="str">
        <f>+B5&amp;" (Mes)"</f>
        <v>Abril (Mes)</v>
      </c>
      <c r="I7" s="93"/>
      <c r="J7" s="94">
        <v>4248.62</v>
      </c>
      <c r="K7" s="95"/>
      <c r="N7" s="39"/>
    </row>
    <row r="8" spans="1:26" ht="12.75" customHeight="1" x14ac:dyDescent="0.2">
      <c r="B8" s="5"/>
      <c r="C8" s="5"/>
      <c r="D8" s="91"/>
      <c r="E8" s="91"/>
      <c r="F8" s="92"/>
      <c r="G8" s="92"/>
      <c r="H8" s="93" t="s">
        <v>106</v>
      </c>
      <c r="I8" s="93"/>
      <c r="J8" s="94">
        <v>4228.53</v>
      </c>
      <c r="K8" s="95"/>
      <c r="N8" s="40"/>
    </row>
    <row r="9" spans="1:26" ht="12.75" customHeight="1" x14ac:dyDescent="0.2">
      <c r="B9" s="5"/>
      <c r="C9" s="5"/>
      <c r="D9" s="91"/>
      <c r="E9" s="91"/>
      <c r="F9" s="92"/>
      <c r="G9" s="92"/>
      <c r="H9" s="93" t="s">
        <v>7</v>
      </c>
      <c r="I9" s="93"/>
      <c r="J9" s="96">
        <v>4412.5</v>
      </c>
      <c r="K9" s="96"/>
      <c r="N9" s="40"/>
    </row>
    <row r="10" spans="1:26" ht="12.75" customHeight="1" x14ac:dyDescent="0.2">
      <c r="B10" s="5"/>
      <c r="C10" s="5"/>
      <c r="D10" s="91"/>
      <c r="E10" s="91"/>
      <c r="F10" s="92" t="s">
        <v>8</v>
      </c>
      <c r="G10" s="92"/>
      <c r="H10" s="102" t="str">
        <f>+B5</f>
        <v>Abril</v>
      </c>
      <c r="I10" s="102"/>
      <c r="J10" s="96">
        <f>+AVERAGE(J7:K8)</f>
        <v>4238.5749999999998</v>
      </c>
      <c r="K10" s="92"/>
      <c r="L10" s="72"/>
    </row>
    <row r="11" spans="1:26" x14ac:dyDescent="0.2">
      <c r="B11" s="4"/>
    </row>
    <row r="12" spans="1:26" s="6" customFormat="1" ht="12.75" customHeight="1" x14ac:dyDescent="0.2">
      <c r="B12" s="97" t="s">
        <v>9</v>
      </c>
      <c r="D12" s="99" t="s">
        <v>10</v>
      </c>
      <c r="E12" s="100"/>
      <c r="F12" s="100"/>
      <c r="G12" s="100"/>
      <c r="H12" s="101"/>
      <c r="I12" s="7"/>
      <c r="J12" s="99" t="s">
        <v>11</v>
      </c>
      <c r="K12" s="100"/>
      <c r="L12" s="100"/>
      <c r="M12" s="100"/>
      <c r="N12" s="101"/>
      <c r="O12" s="1"/>
      <c r="P12" s="1"/>
      <c r="Q12" s="1"/>
      <c r="R12" s="1"/>
      <c r="S12" s="1"/>
      <c r="T12" s="1"/>
      <c r="U12" s="1"/>
      <c r="V12" s="1"/>
      <c r="W12" s="1"/>
      <c r="X12" s="1"/>
      <c r="Y12" s="1"/>
      <c r="Z12" s="1"/>
    </row>
    <row r="13" spans="1:26" s="6" customFormat="1" ht="12.75" customHeight="1" x14ac:dyDescent="0.2">
      <c r="B13" s="98"/>
      <c r="D13" s="8" t="s">
        <v>12</v>
      </c>
      <c r="F13" s="8" t="s">
        <v>13</v>
      </c>
      <c r="H13" s="8" t="s">
        <v>14</v>
      </c>
      <c r="J13" s="8" t="s">
        <v>12</v>
      </c>
      <c r="L13" s="8" t="s">
        <v>13</v>
      </c>
      <c r="N13" s="8" t="s">
        <v>14</v>
      </c>
      <c r="O13" s="1"/>
      <c r="P13" s="1"/>
      <c r="Q13" s="1"/>
      <c r="R13" s="1"/>
      <c r="S13" s="1"/>
      <c r="T13" s="1"/>
      <c r="U13" s="1"/>
      <c r="V13" s="1"/>
      <c r="W13" s="1"/>
      <c r="X13" s="1"/>
      <c r="Y13" s="1"/>
      <c r="Z13" s="1"/>
    </row>
    <row r="14" spans="1:26" ht="14.25" customHeight="1" x14ac:dyDescent="0.2">
      <c r="B14" s="9" t="s">
        <v>15</v>
      </c>
      <c r="D14" s="103">
        <v>2373969.1082743998</v>
      </c>
      <c r="E14" s="104"/>
      <c r="F14" s="103">
        <v>11118592.160725597</v>
      </c>
      <c r="G14" s="103"/>
      <c r="H14" s="103">
        <v>13492561.278999999</v>
      </c>
      <c r="I14" s="19"/>
      <c r="J14" s="64">
        <f>+D14/$J$8</f>
        <v>561.41711381364212</v>
      </c>
      <c r="K14" s="19"/>
      <c r="L14" s="64">
        <f>+F14/$J$8</f>
        <v>2629.4225560006903</v>
      </c>
      <c r="M14" s="19"/>
      <c r="N14" s="65">
        <f>+J14+L14</f>
        <v>3190.8396698143324</v>
      </c>
    </row>
    <row r="15" spans="1:26" ht="14.25" customHeight="1" x14ac:dyDescent="0.2">
      <c r="B15" s="11" t="s">
        <v>16</v>
      </c>
      <c r="D15" s="105">
        <v>-375717.99</v>
      </c>
      <c r="E15" s="106"/>
      <c r="F15" s="74">
        <v>-7750710.966</v>
      </c>
      <c r="G15" s="107"/>
      <c r="H15" s="61">
        <f>+D15+F15</f>
        <v>-8126428.9560000002</v>
      </c>
      <c r="I15" s="10"/>
      <c r="J15" s="24">
        <f>+D15/$J$10</f>
        <v>-88.642524905186292</v>
      </c>
      <c r="K15" s="32"/>
      <c r="L15" s="24">
        <f>+F15/$J$10</f>
        <v>-1828.6124383784645</v>
      </c>
      <c r="M15" s="32"/>
      <c r="N15" s="24">
        <f>+J15+L15</f>
        <v>-1917.2549632836508</v>
      </c>
    </row>
    <row r="16" spans="1:26" ht="14.25" customHeight="1" x14ac:dyDescent="0.2">
      <c r="B16" s="11" t="s">
        <v>17</v>
      </c>
      <c r="D16" s="37"/>
      <c r="E16" s="36"/>
      <c r="F16" s="61">
        <v>8042937.9310000017</v>
      </c>
      <c r="G16" s="108"/>
      <c r="H16" s="105">
        <f>F16</f>
        <v>8042937.9310000017</v>
      </c>
      <c r="I16" s="10"/>
      <c r="J16" s="24">
        <f>+D16/$J$10</f>
        <v>0</v>
      </c>
      <c r="K16" s="32"/>
      <c r="L16" s="24">
        <f>+F16/$J$10</f>
        <v>1897.5570636357743</v>
      </c>
      <c r="M16" s="32"/>
      <c r="N16" s="24">
        <f>+J16+L16</f>
        <v>1897.5570636357743</v>
      </c>
    </row>
    <row r="17" spans="2:14" ht="14.25" customHeight="1" x14ac:dyDescent="0.2">
      <c r="B17" s="11" t="s">
        <v>18</v>
      </c>
      <c r="D17" s="61">
        <v>347152.55</v>
      </c>
      <c r="E17" s="62"/>
      <c r="F17" s="61">
        <f>-D17</f>
        <v>-347152.55</v>
      </c>
      <c r="G17" s="109"/>
      <c r="H17" s="105">
        <f>+D17+F17</f>
        <v>0</v>
      </c>
      <c r="I17" s="10"/>
      <c r="J17" s="24">
        <f>+D17/$J$7</f>
        <v>81.709484491434864</v>
      </c>
      <c r="K17" s="32"/>
      <c r="L17" s="24">
        <f>+F17/$J$7</f>
        <v>-81.709484491434864</v>
      </c>
      <c r="M17" s="32"/>
      <c r="N17" s="24">
        <f t="shared" ref="N17:N20" si="0">+J17+L17</f>
        <v>0</v>
      </c>
    </row>
    <row r="18" spans="2:14" ht="14.25" customHeight="1" x14ac:dyDescent="0.2">
      <c r="B18" s="11" t="s">
        <v>19</v>
      </c>
      <c r="D18" s="37"/>
      <c r="E18" s="36"/>
      <c r="F18" s="37"/>
      <c r="G18" s="109"/>
      <c r="H18" s="110">
        <f>SUM(D18:F18)</f>
        <v>0</v>
      </c>
      <c r="I18" s="10"/>
      <c r="J18" s="24">
        <f>+D18/$J$10</f>
        <v>0</v>
      </c>
      <c r="K18" s="32"/>
      <c r="L18" s="24">
        <f>+F18/$J$10</f>
        <v>0</v>
      </c>
      <c r="M18" s="32"/>
      <c r="N18" s="24">
        <f t="shared" si="0"/>
        <v>0</v>
      </c>
    </row>
    <row r="19" spans="2:14" ht="14.25" customHeight="1" x14ac:dyDescent="0.2">
      <c r="B19" s="14" t="s">
        <v>20</v>
      </c>
      <c r="D19" s="111"/>
      <c r="E19" s="109"/>
      <c r="F19" s="111"/>
      <c r="G19" s="109"/>
      <c r="H19" s="110">
        <f>SUM(D19:F19)</f>
        <v>0</v>
      </c>
      <c r="I19" s="10"/>
      <c r="J19" s="24">
        <f>+D19/$J$10</f>
        <v>0</v>
      </c>
      <c r="K19" s="33"/>
      <c r="L19" s="24">
        <f>+F19/$J$10</f>
        <v>0</v>
      </c>
      <c r="M19" s="33"/>
      <c r="N19" s="24">
        <f t="shared" si="0"/>
        <v>0</v>
      </c>
    </row>
    <row r="20" spans="2:14" ht="14.25" customHeight="1" x14ac:dyDescent="0.2">
      <c r="B20" s="14" t="s">
        <v>21</v>
      </c>
      <c r="D20" s="16"/>
      <c r="E20" s="10"/>
      <c r="F20" s="16"/>
      <c r="G20" s="10"/>
      <c r="H20" s="16">
        <f>+D20+F20</f>
        <v>0</v>
      </c>
      <c r="I20" s="10"/>
      <c r="J20" s="24">
        <f>+J22-SUM(J14:J19)</f>
        <v>-2.4451364569774796</v>
      </c>
      <c r="K20" s="33"/>
      <c r="L20" s="24">
        <f>+L22-SUM(L14:L19)</f>
        <v>-12.596477894178861</v>
      </c>
      <c r="M20" s="33"/>
      <c r="N20" s="24">
        <f t="shared" si="0"/>
        <v>-15.04161435115634</v>
      </c>
    </row>
    <row r="21" spans="2:14" ht="14.25" customHeight="1" x14ac:dyDescent="0.2">
      <c r="B21" s="11" t="s">
        <v>22</v>
      </c>
      <c r="D21" s="12">
        <f>SUM(D19:D20)</f>
        <v>0</v>
      </c>
      <c r="E21" s="10"/>
      <c r="F21" s="12">
        <f>SUM(F19:F20)</f>
        <v>0</v>
      </c>
      <c r="G21" s="10"/>
      <c r="H21" s="12">
        <f>SUM(H19:H20)</f>
        <v>0</v>
      </c>
      <c r="I21" s="10"/>
      <c r="J21" s="24">
        <f>SUM(J19:J20)</f>
        <v>-2.4451364569774796</v>
      </c>
      <c r="K21" s="32"/>
      <c r="L21" s="24">
        <f>SUM(L19:L20)</f>
        <v>-12.596477894178861</v>
      </c>
      <c r="M21" s="32"/>
      <c r="N21" s="24">
        <f>SUM(N19:N20)</f>
        <v>-15.04161435115634</v>
      </c>
    </row>
    <row r="22" spans="2:14" ht="14.25" customHeight="1" x14ac:dyDescent="0.2">
      <c r="B22" s="17" t="s">
        <v>23</v>
      </c>
      <c r="D22" s="18">
        <f>SUM(D14:D17)</f>
        <v>2345403.6682743998</v>
      </c>
      <c r="E22" s="19"/>
      <c r="F22" s="18">
        <f>SUM(F14:F18)</f>
        <v>11063666.575725598</v>
      </c>
      <c r="G22" s="57"/>
      <c r="H22" s="18">
        <f>SUM(H14:H18,H21)</f>
        <v>13409070.254000001</v>
      </c>
      <c r="I22" s="10"/>
      <c r="J22" s="34">
        <f>+D22/$J$7</f>
        <v>552.03893694291321</v>
      </c>
      <c r="K22" s="32"/>
      <c r="L22" s="34">
        <f>+F22/$J$7</f>
        <v>2604.0612188723862</v>
      </c>
      <c r="M22" s="32"/>
      <c r="N22" s="18">
        <f>SUM(N14:N18,N21)</f>
        <v>3156.1001558152993</v>
      </c>
    </row>
    <row r="23" spans="2:14" ht="14.25" customHeight="1" x14ac:dyDescent="0.2">
      <c r="B23" s="11" t="s">
        <v>24</v>
      </c>
      <c r="D23" s="21">
        <v>-285412.34999999998</v>
      </c>
      <c r="E23" s="109"/>
      <c r="F23" s="111">
        <v>0</v>
      </c>
      <c r="G23" s="109"/>
      <c r="H23" s="21">
        <v>-285412.35000000009</v>
      </c>
      <c r="I23" s="10"/>
      <c r="J23" s="24">
        <f>+D23/$J$8</f>
        <v>-67.496825137813843</v>
      </c>
      <c r="K23" s="32"/>
      <c r="L23" s="24">
        <f>+F23/$J$8</f>
        <v>0</v>
      </c>
      <c r="M23" s="32"/>
      <c r="N23" s="41">
        <f>+J23+L23</f>
        <v>-67.496825137813843</v>
      </c>
    </row>
    <row r="24" spans="2:14" ht="14.25" customHeight="1" x14ac:dyDescent="0.2">
      <c r="B24" s="11" t="s">
        <v>25</v>
      </c>
      <c r="D24" s="23">
        <v>-78309.39</v>
      </c>
      <c r="E24" s="109"/>
      <c r="F24" s="111"/>
      <c r="G24" s="109"/>
      <c r="H24" s="21">
        <f>D24</f>
        <v>-78309.39</v>
      </c>
      <c r="I24" s="10"/>
      <c r="J24" s="24">
        <f>+D24/$J$10</f>
        <v>-18.475405059483435</v>
      </c>
      <c r="K24" s="32"/>
      <c r="L24" s="24">
        <f>+F24/$J$10</f>
        <v>0</v>
      </c>
      <c r="M24" s="32"/>
      <c r="N24" s="24">
        <f>+J24+L24</f>
        <v>-18.475405059483435</v>
      </c>
    </row>
    <row r="25" spans="2:14" ht="14.25" customHeight="1" x14ac:dyDescent="0.2">
      <c r="B25" s="11" t="s">
        <v>26</v>
      </c>
      <c r="D25" s="63"/>
      <c r="E25" s="10"/>
      <c r="F25" s="13"/>
      <c r="G25" s="10"/>
      <c r="H25" s="22">
        <f>+D25+F25</f>
        <v>0</v>
      </c>
      <c r="I25" s="10"/>
      <c r="J25" s="24">
        <f>+D25/$J$10</f>
        <v>0</v>
      </c>
      <c r="K25" s="32"/>
      <c r="L25" s="24">
        <f>+F25/$J$10</f>
        <v>0</v>
      </c>
      <c r="M25" s="32"/>
      <c r="N25" s="24">
        <f>+J25+L25</f>
        <v>0</v>
      </c>
    </row>
    <row r="26" spans="2:14" ht="14.25" customHeight="1" x14ac:dyDescent="0.2">
      <c r="B26" s="14" t="s">
        <v>20</v>
      </c>
      <c r="D26" s="13"/>
      <c r="E26" s="10"/>
      <c r="F26" s="13"/>
      <c r="G26" s="10"/>
      <c r="H26" s="12">
        <f>+D26+F26</f>
        <v>0</v>
      </c>
      <c r="I26" s="15"/>
      <c r="J26" s="24">
        <f>+D26/$J$10</f>
        <v>0</v>
      </c>
      <c r="K26" s="33"/>
      <c r="L26" s="24">
        <f>+F26/$J$10</f>
        <v>0</v>
      </c>
      <c r="M26" s="33"/>
      <c r="N26" s="24">
        <f>+J26+L26</f>
        <v>0</v>
      </c>
    </row>
    <row r="27" spans="2:14" ht="14.25" customHeight="1" x14ac:dyDescent="0.2">
      <c r="B27" s="14" t="s">
        <v>21</v>
      </c>
      <c r="D27" s="16"/>
      <c r="E27" s="10"/>
      <c r="F27" s="16"/>
      <c r="G27" s="10"/>
      <c r="H27" s="25">
        <f>+D27+F27</f>
        <v>0</v>
      </c>
      <c r="I27" s="15"/>
      <c r="J27" s="24">
        <f>+J29-SUM(J23:J26)</f>
        <v>0.36284644445517245</v>
      </c>
      <c r="K27" s="33"/>
      <c r="L27" s="24">
        <f>+L29-SUM(L23:L26)</f>
        <v>0</v>
      </c>
      <c r="M27" s="33"/>
      <c r="N27" s="24">
        <f>+J27+L27</f>
        <v>0.36284644445517245</v>
      </c>
    </row>
    <row r="28" spans="2:14" ht="14.25" customHeight="1" x14ac:dyDescent="0.2">
      <c r="B28" s="11" t="s">
        <v>22</v>
      </c>
      <c r="D28" s="12">
        <f>SUM(D26:D27)</f>
        <v>0</v>
      </c>
      <c r="E28" s="10"/>
      <c r="F28" s="12">
        <f>SUM(F26:F27)</f>
        <v>0</v>
      </c>
      <c r="G28" s="10"/>
      <c r="H28" s="12">
        <f>SUM(H26:H27)</f>
        <v>0</v>
      </c>
      <c r="I28" s="10"/>
      <c r="J28" s="24">
        <f>SUM(J26:J27)</f>
        <v>0.36284644445517245</v>
      </c>
      <c r="K28" s="32"/>
      <c r="L28" s="24">
        <f>SUM(L26:L27)</f>
        <v>0</v>
      </c>
      <c r="M28" s="32"/>
      <c r="N28" s="24">
        <f>SUM(N26:N27)</f>
        <v>0.36284644445517245</v>
      </c>
    </row>
    <row r="29" spans="2:14" ht="14.25" customHeight="1" x14ac:dyDescent="0.2">
      <c r="B29" s="26" t="s">
        <v>27</v>
      </c>
      <c r="D29" s="18">
        <f>SUM(D23:D25,D28)</f>
        <v>-363721.74</v>
      </c>
      <c r="E29" s="19"/>
      <c r="F29" s="18">
        <f>SUM(F23:F25,F28)</f>
        <v>0</v>
      </c>
      <c r="G29" s="19"/>
      <c r="H29" s="18">
        <f>SUM(H23:H25,H28)</f>
        <v>-363721.74000000011</v>
      </c>
      <c r="I29" s="10"/>
      <c r="J29" s="35">
        <f>+D29/$J$7</f>
        <v>-85.609383752842106</v>
      </c>
      <c r="K29" s="32"/>
      <c r="L29" s="34">
        <f>+F29/$J$7</f>
        <v>0</v>
      </c>
      <c r="M29" s="32"/>
      <c r="N29" s="35">
        <f>SUM(N23:N25,N28)</f>
        <v>-85.609383752842106</v>
      </c>
    </row>
    <row r="30" spans="2:14" ht="17.25" customHeight="1" x14ac:dyDescent="0.2">
      <c r="B30" s="27" t="s">
        <v>28</v>
      </c>
      <c r="D30" s="114">
        <f>+D22+D29</f>
        <v>1981681.9282743998</v>
      </c>
      <c r="E30" s="115"/>
      <c r="F30" s="114">
        <f>+F22+F29</f>
        <v>11063666.575725598</v>
      </c>
      <c r="G30" s="115"/>
      <c r="H30" s="114">
        <f>+H22+H29</f>
        <v>13045348.514</v>
      </c>
      <c r="I30" s="10"/>
      <c r="J30" s="28">
        <f>+J22+J29</f>
        <v>466.42955319007109</v>
      </c>
      <c r="K30" s="10"/>
      <c r="L30" s="28">
        <f>+L22+L29</f>
        <v>2604.0612188723862</v>
      </c>
      <c r="M30" s="10"/>
      <c r="N30" s="42">
        <f>+N22+N29</f>
        <v>3070.4907720624574</v>
      </c>
    </row>
    <row r="31" spans="2:14" ht="13.5" customHeight="1" x14ac:dyDescent="0.2">
      <c r="B31" s="29"/>
      <c r="D31" s="30"/>
      <c r="F31" s="30"/>
      <c r="H31" s="44"/>
    </row>
    <row r="32" spans="2:14" ht="13.5" customHeight="1" x14ac:dyDescent="0.2">
      <c r="H32" s="45"/>
    </row>
    <row r="33" spans="2:26" s="6" customFormat="1" ht="12.75" customHeight="1" x14ac:dyDescent="0.2">
      <c r="B33" s="97" t="s">
        <v>29</v>
      </c>
      <c r="D33" s="99" t="s">
        <v>10</v>
      </c>
      <c r="E33" s="100"/>
      <c r="F33" s="100"/>
      <c r="G33" s="100"/>
      <c r="H33" s="101"/>
      <c r="I33" s="7"/>
      <c r="J33" s="99" t="s">
        <v>11</v>
      </c>
      <c r="K33" s="100"/>
      <c r="L33" s="100"/>
      <c r="M33" s="100"/>
      <c r="N33" s="101"/>
      <c r="O33" s="1"/>
      <c r="P33" s="1"/>
      <c r="Q33" s="1"/>
      <c r="R33" s="1"/>
      <c r="S33" s="1"/>
      <c r="T33" s="1"/>
      <c r="U33" s="1"/>
      <c r="V33" s="1"/>
      <c r="W33" s="1"/>
      <c r="X33" s="1"/>
      <c r="Y33" s="1"/>
      <c r="Z33" s="1"/>
    </row>
    <row r="34" spans="2:26" s="6" customFormat="1" ht="12.75" customHeight="1" x14ac:dyDescent="0.2">
      <c r="B34" s="98"/>
      <c r="D34" s="8" t="s">
        <v>12</v>
      </c>
      <c r="F34" s="8" t="s">
        <v>13</v>
      </c>
      <c r="H34" s="8" t="s">
        <v>14</v>
      </c>
      <c r="J34" s="8" t="s">
        <v>12</v>
      </c>
      <c r="L34" s="8" t="s">
        <v>13</v>
      </c>
      <c r="N34" s="8" t="s">
        <v>14</v>
      </c>
      <c r="O34" s="1"/>
      <c r="P34" s="1"/>
      <c r="Q34" s="1"/>
      <c r="R34" s="1"/>
      <c r="S34" s="1"/>
      <c r="T34" s="1"/>
      <c r="U34" s="1"/>
      <c r="V34" s="1"/>
      <c r="W34" s="1"/>
      <c r="X34" s="1"/>
      <c r="Y34" s="1"/>
      <c r="Z34" s="1"/>
    </row>
    <row r="35" spans="2:26" ht="14.25" customHeight="1" x14ac:dyDescent="0.2">
      <c r="B35" s="47" t="s">
        <v>30</v>
      </c>
      <c r="D35" s="46">
        <v>1628964.5416799001</v>
      </c>
      <c r="E35" s="46"/>
      <c r="F35" s="46">
        <v>16159180.314169524</v>
      </c>
      <c r="G35" s="19"/>
      <c r="H35" s="46">
        <v>17788144.85584943</v>
      </c>
      <c r="I35" s="10"/>
      <c r="J35" s="48">
        <f>+D35/$J$9</f>
        <v>369.17043437504822</v>
      </c>
      <c r="K35" s="10"/>
      <c r="L35" s="48">
        <f>+F35/$J$9</f>
        <v>3662.1371816814785</v>
      </c>
      <c r="M35" s="10"/>
      <c r="N35" s="43">
        <f>+J35+L35</f>
        <v>4031.307616056527</v>
      </c>
    </row>
    <row r="36" spans="2:26" ht="14.25" customHeight="1" x14ac:dyDescent="0.2">
      <c r="B36" s="11" t="s">
        <v>31</v>
      </c>
      <c r="D36" s="23">
        <v>-1855194.78</v>
      </c>
      <c r="E36" s="67">
        <v>0</v>
      </c>
      <c r="F36" s="68">
        <v>-26518053.784000002</v>
      </c>
      <c r="G36" s="67"/>
      <c r="H36" s="68">
        <f>+D36+F36</f>
        <v>-28373248.564000003</v>
      </c>
      <c r="I36" s="10"/>
      <c r="J36" s="12">
        <f>+D36/$J$7</f>
        <v>-436.65820431104692</v>
      </c>
      <c r="K36" s="10"/>
      <c r="L36" s="12">
        <f>+F36/$J$7</f>
        <v>-6241.5687409088132</v>
      </c>
      <c r="M36" s="10"/>
      <c r="N36" s="22">
        <f t="shared" ref="N36:N41" si="1">+J36+L36</f>
        <v>-6678.2269452198598</v>
      </c>
    </row>
    <row r="37" spans="2:26" ht="14.25" customHeight="1" x14ac:dyDescent="0.2">
      <c r="B37" s="11" t="s">
        <v>32</v>
      </c>
      <c r="D37" s="69">
        <v>0</v>
      </c>
      <c r="E37" s="67">
        <v>0</v>
      </c>
      <c r="F37" s="70">
        <v>23994173.967999995</v>
      </c>
      <c r="G37" s="70"/>
      <c r="H37" s="70">
        <f>+D37+F37</f>
        <v>23994173.967999995</v>
      </c>
      <c r="I37" s="10"/>
      <c r="J37" s="12">
        <f>+D37/$J$7</f>
        <v>0</v>
      </c>
      <c r="K37" s="10"/>
      <c r="L37" s="12">
        <f>+F37/$J$7</f>
        <v>5647.5217760119749</v>
      </c>
      <c r="M37" s="10"/>
      <c r="N37" s="22">
        <f t="shared" si="1"/>
        <v>5647.5217760119749</v>
      </c>
    </row>
    <row r="38" spans="2:26" ht="14.25" customHeight="1" x14ac:dyDescent="0.2">
      <c r="B38" s="11" t="s">
        <v>33</v>
      </c>
      <c r="D38" s="68">
        <v>2571633.9082744</v>
      </c>
      <c r="E38" s="70">
        <v>0</v>
      </c>
      <c r="F38" s="68">
        <v>-2571633.9082744</v>
      </c>
      <c r="G38" s="67"/>
      <c r="H38" s="69"/>
      <c r="I38" s="10"/>
      <c r="J38" s="12">
        <f>+D38/$J$7</f>
        <v>605.28687156639103</v>
      </c>
      <c r="K38" s="10"/>
      <c r="L38" s="12">
        <f>+F38/$J$7</f>
        <v>-605.28687156639103</v>
      </c>
      <c r="M38" s="10"/>
      <c r="N38" s="22">
        <f t="shared" si="1"/>
        <v>0</v>
      </c>
    </row>
    <row r="39" spans="2:26" ht="14.25" customHeight="1" x14ac:dyDescent="0.2">
      <c r="B39" s="11" t="s">
        <v>19</v>
      </c>
      <c r="D39" s="13"/>
      <c r="E39" s="10"/>
      <c r="F39" s="13"/>
      <c r="G39" s="10"/>
      <c r="H39" s="12">
        <v>0</v>
      </c>
      <c r="I39" s="10"/>
      <c r="J39" s="12">
        <f>+D39/$J$7</f>
        <v>0</v>
      </c>
      <c r="K39" s="10"/>
      <c r="L39" s="12">
        <f>+F39/$J$7</f>
        <v>0</v>
      </c>
      <c r="M39" s="10"/>
      <c r="N39" s="22">
        <f t="shared" si="1"/>
        <v>0</v>
      </c>
    </row>
    <row r="40" spans="2:26" ht="14.25" customHeight="1" x14ac:dyDescent="0.2">
      <c r="B40" s="14" t="s">
        <v>20</v>
      </c>
      <c r="D40" s="13"/>
      <c r="E40" s="10"/>
      <c r="F40" s="13"/>
      <c r="G40" s="10"/>
      <c r="H40" s="12">
        <v>0</v>
      </c>
      <c r="I40" s="10"/>
      <c r="J40" s="12">
        <f>+D40/$J$7</f>
        <v>0</v>
      </c>
      <c r="K40" s="15"/>
      <c r="L40" s="12">
        <f>+F40/$J$7</f>
        <v>0</v>
      </c>
      <c r="M40" s="15"/>
      <c r="N40" s="22">
        <f t="shared" si="1"/>
        <v>0</v>
      </c>
    </row>
    <row r="41" spans="2:26" ht="14.25" customHeight="1" x14ac:dyDescent="0.2">
      <c r="B41" s="14" t="s">
        <v>21</v>
      </c>
      <c r="D41" s="16"/>
      <c r="E41" s="10"/>
      <c r="F41" s="16"/>
      <c r="G41" s="10"/>
      <c r="H41" s="25">
        <f>+D41+F41</f>
        <v>0</v>
      </c>
      <c r="I41" s="10"/>
      <c r="J41" s="12">
        <f>+J43-SUM(J35:J40)</f>
        <v>14.239835707919838</v>
      </c>
      <c r="K41" s="15"/>
      <c r="L41" s="12">
        <f>+L43-SUM(L35:L40)</f>
        <v>141.25787698922522</v>
      </c>
      <c r="M41" s="15"/>
      <c r="N41" s="22">
        <f t="shared" si="1"/>
        <v>155.49771269714506</v>
      </c>
    </row>
    <row r="42" spans="2:26" ht="14.25" customHeight="1" x14ac:dyDescent="0.2">
      <c r="B42" s="11" t="s">
        <v>22</v>
      </c>
      <c r="D42" s="12">
        <f>SUM(D40:D41)</f>
        <v>0</v>
      </c>
      <c r="E42" s="10"/>
      <c r="F42" s="12">
        <f>SUM(F40:F41)</f>
        <v>0</v>
      </c>
      <c r="G42" s="10"/>
      <c r="H42" s="12">
        <f>SUM(H40:H41)</f>
        <v>0</v>
      </c>
      <c r="I42" s="10"/>
      <c r="J42" s="12">
        <f>SUM(J40:J41)</f>
        <v>14.239835707919838</v>
      </c>
      <c r="K42" s="10"/>
      <c r="L42" s="12">
        <f>SUM(L40:L41)</f>
        <v>141.25787698922522</v>
      </c>
      <c r="M42" s="10"/>
      <c r="N42" s="22">
        <f>SUM(N40:N41)</f>
        <v>155.49771269714506</v>
      </c>
    </row>
    <row r="43" spans="2:26" ht="14.25" customHeight="1" x14ac:dyDescent="0.2">
      <c r="B43" s="17" t="s">
        <v>23</v>
      </c>
      <c r="D43" s="116">
        <f>SUM(D35:D39,D42)</f>
        <v>2345403.6699542999</v>
      </c>
      <c r="E43" s="115"/>
      <c r="F43" s="116">
        <f>SUM(F35:F39,F42)</f>
        <v>11063666.589895118</v>
      </c>
      <c r="G43" s="115"/>
      <c r="H43" s="116">
        <f>SUM(H35:H39,H42)</f>
        <v>13409070.259849422</v>
      </c>
      <c r="I43" s="10"/>
      <c r="J43" s="20">
        <f>+D43/$J$7</f>
        <v>552.03893733831217</v>
      </c>
      <c r="K43" s="10"/>
      <c r="L43" s="20">
        <f>+F43/$J$7</f>
        <v>2604.0612222074742</v>
      </c>
      <c r="M43" s="10"/>
      <c r="N43" s="31">
        <f>SUM(N35:N39,N42)</f>
        <v>3156.1001595457874</v>
      </c>
    </row>
    <row r="44" spans="2:26" ht="14.25" customHeight="1" x14ac:dyDescent="0.2">
      <c r="B44" s="11" t="s">
        <v>24</v>
      </c>
      <c r="D44" s="21">
        <v>-251991.82500000042</v>
      </c>
      <c r="E44" s="10"/>
      <c r="F44" s="13">
        <v>0</v>
      </c>
      <c r="G44" s="10"/>
      <c r="H44" s="21">
        <v>-251991.82100000023</v>
      </c>
      <c r="I44" s="10"/>
      <c r="J44" s="12">
        <f>+D44/$J$9</f>
        <v>-57.108628895184232</v>
      </c>
      <c r="K44" s="10"/>
      <c r="L44" s="12">
        <f>+F44/$J$9</f>
        <v>0</v>
      </c>
      <c r="M44" s="10"/>
      <c r="N44" s="22">
        <f>+J44+L44</f>
        <v>-57.108628895184232</v>
      </c>
    </row>
    <row r="45" spans="2:26" ht="14.25" customHeight="1" x14ac:dyDescent="0.2">
      <c r="B45" s="11" t="s">
        <v>34</v>
      </c>
      <c r="D45" s="24">
        <v>-158573.92599999998</v>
      </c>
      <c r="E45" s="10"/>
      <c r="F45" s="13"/>
      <c r="G45" s="10"/>
      <c r="H45" s="52">
        <f>D45</f>
        <v>-158573.92599999998</v>
      </c>
      <c r="I45" s="10"/>
      <c r="J45" s="12">
        <f>+D45/$J$7</f>
        <v>-37.32363120260225</v>
      </c>
      <c r="K45" s="10"/>
      <c r="L45" s="12">
        <f>+F45/$J$7</f>
        <v>0</v>
      </c>
      <c r="M45" s="10"/>
      <c r="N45" s="22">
        <f>+J45+L45</f>
        <v>-37.32363120260225</v>
      </c>
    </row>
    <row r="46" spans="2:26" ht="14.25" customHeight="1" x14ac:dyDescent="0.2">
      <c r="B46" s="11" t="s">
        <v>26</v>
      </c>
      <c r="D46" s="21">
        <v>46844.008000000293</v>
      </c>
      <c r="E46" s="10"/>
      <c r="F46" s="13"/>
      <c r="G46" s="10"/>
      <c r="H46" s="22">
        <f>+D46+F46</f>
        <v>46844.008000000293</v>
      </c>
      <c r="I46" s="10"/>
      <c r="J46" s="12">
        <f>+D46/$J$7</f>
        <v>11.025699638941655</v>
      </c>
      <c r="K46" s="10"/>
      <c r="L46" s="12">
        <f>+F46/$J$7</f>
        <v>0</v>
      </c>
      <c r="M46" s="10"/>
      <c r="N46" s="22">
        <f>+J46+L46</f>
        <v>11.025699638941655</v>
      </c>
    </row>
    <row r="47" spans="2:26" ht="14.25" customHeight="1" x14ac:dyDescent="0.2">
      <c r="B47" s="14" t="s">
        <v>20</v>
      </c>
      <c r="D47" s="13"/>
      <c r="E47" s="10"/>
      <c r="F47" s="13"/>
      <c r="G47" s="10"/>
      <c r="H47" s="12">
        <f>+D47+F47</f>
        <v>0</v>
      </c>
      <c r="I47" s="10"/>
      <c r="J47" s="12">
        <f>+D47/$J$7</f>
        <v>0</v>
      </c>
      <c r="K47" s="15"/>
      <c r="L47" s="12">
        <f>+F47/$J$7</f>
        <v>0</v>
      </c>
      <c r="M47" s="15"/>
      <c r="N47" s="22">
        <f>+J47+L47</f>
        <v>0</v>
      </c>
    </row>
    <row r="48" spans="2:26" ht="14.25" customHeight="1" x14ac:dyDescent="0.2">
      <c r="B48" s="14" t="s">
        <v>21</v>
      </c>
      <c r="D48" s="16"/>
      <c r="E48" s="10"/>
      <c r="F48" s="16"/>
      <c r="G48" s="10"/>
      <c r="H48" s="25">
        <f>+D48+F48</f>
        <v>0</v>
      </c>
      <c r="I48" s="10"/>
      <c r="J48" s="12">
        <f>+J50-SUM(J44:J47)</f>
        <v>-2.2028240001089472</v>
      </c>
      <c r="K48" s="15"/>
      <c r="L48" s="12">
        <f>+L50-SUM(L44:L47)</f>
        <v>0</v>
      </c>
      <c r="M48" s="15"/>
      <c r="N48" s="22">
        <f>+J48+L48</f>
        <v>-2.2028240001089472</v>
      </c>
    </row>
    <row r="49" spans="2:14" ht="14.25" customHeight="1" x14ac:dyDescent="0.2">
      <c r="B49" s="11" t="s">
        <v>22</v>
      </c>
      <c r="D49" s="12">
        <f>SUM(D47:D48)</f>
        <v>0</v>
      </c>
      <c r="E49" s="10"/>
      <c r="F49" s="12">
        <f>SUM(F47:F48)</f>
        <v>0</v>
      </c>
      <c r="G49" s="10"/>
      <c r="H49" s="12">
        <f>SUM(H47:H48)</f>
        <v>0</v>
      </c>
      <c r="I49" s="10"/>
      <c r="J49" s="12">
        <f>SUM(J47:J48)</f>
        <v>-2.2028240001089472</v>
      </c>
      <c r="K49" s="10"/>
      <c r="L49" s="12">
        <f>SUM(L47:L48)</f>
        <v>0</v>
      </c>
      <c r="M49" s="10"/>
      <c r="N49" s="22">
        <f>SUM(N47:N48)</f>
        <v>-2.2028240001089472</v>
      </c>
    </row>
    <row r="50" spans="2:14" ht="14.25" customHeight="1" x14ac:dyDescent="0.2">
      <c r="B50" s="26" t="s">
        <v>27</v>
      </c>
      <c r="D50" s="18">
        <f>SUM(D44:D46,D49)</f>
        <v>-363721.74300000013</v>
      </c>
      <c r="E50" s="10"/>
      <c r="F50" s="20">
        <f>SUM(F44:F46,F49)</f>
        <v>0</v>
      </c>
      <c r="G50" s="10"/>
      <c r="H50" s="31">
        <f>SUM(H44:H46,H49)</f>
        <v>-363721.73899999994</v>
      </c>
      <c r="I50" s="10"/>
      <c r="J50" s="34">
        <f>+D50/$J$7</f>
        <v>-85.60938445895377</v>
      </c>
      <c r="K50" s="10"/>
      <c r="L50" s="20">
        <f>+F50/$J$7</f>
        <v>0</v>
      </c>
      <c r="M50" s="10"/>
      <c r="N50" s="49">
        <f>SUM(N44:N46,N49)</f>
        <v>-85.60938445895377</v>
      </c>
    </row>
    <row r="51" spans="2:14" ht="14.25" customHeight="1" x14ac:dyDescent="0.2">
      <c r="B51" s="27" t="s">
        <v>28</v>
      </c>
      <c r="D51" s="112">
        <f>+D43+D50</f>
        <v>1981681.9269542997</v>
      </c>
      <c r="E51" s="113"/>
      <c r="F51" s="112">
        <f>+F43+F50</f>
        <v>11063666.589895118</v>
      </c>
      <c r="G51" s="113"/>
      <c r="H51" s="112">
        <f>+H43+H50</f>
        <v>13045348.520849422</v>
      </c>
      <c r="I51" s="10"/>
      <c r="J51" s="50">
        <f>+J43+J50</f>
        <v>466.42955287935843</v>
      </c>
      <c r="K51" s="10"/>
      <c r="L51" s="50">
        <f>+L43+L50</f>
        <v>2604.0612222074742</v>
      </c>
      <c r="M51" s="10"/>
      <c r="N51" s="51">
        <f>+N43+N50</f>
        <v>3070.4907750868338</v>
      </c>
    </row>
    <row r="52" spans="2:14" x14ac:dyDescent="0.2">
      <c r="D52" s="30">
        <f>+D30-D51</f>
        <v>1.3201001565903425E-3</v>
      </c>
      <c r="E52" s="30">
        <f t="shared" ref="E52:I52" si="2">+E30-E51</f>
        <v>0</v>
      </c>
      <c r="F52" s="30">
        <f t="shared" si="2"/>
        <v>-1.4169519767165184E-2</v>
      </c>
      <c r="G52" s="30">
        <f t="shared" si="2"/>
        <v>0</v>
      </c>
      <c r="H52" s="60">
        <f t="shared" si="2"/>
        <v>-6.8494211882352829E-3</v>
      </c>
      <c r="I52" s="30">
        <f t="shared" si="2"/>
        <v>0</v>
      </c>
    </row>
    <row r="63364" spans="2:2" x14ac:dyDescent="0.2">
      <c r="B63364" s="1" t="s">
        <v>35</v>
      </c>
    </row>
    <row r="63365" spans="2:2" x14ac:dyDescent="0.2">
      <c r="B63365" s="1" t="s">
        <v>36</v>
      </c>
    </row>
    <row r="63366" spans="2:2" x14ac:dyDescent="0.2">
      <c r="B63366" s="1" t="s">
        <v>37</v>
      </c>
    </row>
    <row r="63367" spans="2:2" x14ac:dyDescent="0.2">
      <c r="B63367" s="1" t="s">
        <v>38</v>
      </c>
    </row>
    <row r="63368" spans="2:2" x14ac:dyDescent="0.2">
      <c r="B63368" s="1" t="s">
        <v>39</v>
      </c>
    </row>
    <row r="63369" spans="2:2" x14ac:dyDescent="0.2">
      <c r="B63369" s="1" t="s">
        <v>6</v>
      </c>
    </row>
    <row r="63370" spans="2:2" x14ac:dyDescent="0.2">
      <c r="B63370" s="1" t="s">
        <v>3</v>
      </c>
    </row>
    <row r="63371" spans="2:2" x14ac:dyDescent="0.2">
      <c r="B63371" s="1" t="s">
        <v>40</v>
      </c>
    </row>
    <row r="63372" spans="2:2" x14ac:dyDescent="0.2">
      <c r="B63372" s="1" t="s">
        <v>41</v>
      </c>
    </row>
    <row r="63373" spans="2:2" x14ac:dyDescent="0.2">
      <c r="B63373" s="1" t="s">
        <v>42</v>
      </c>
    </row>
    <row r="63374" spans="2:2" x14ac:dyDescent="0.2">
      <c r="B63374" s="1" t="s">
        <v>43</v>
      </c>
    </row>
    <row r="63375" spans="2:2" x14ac:dyDescent="0.2">
      <c r="B63375" s="1" t="s">
        <v>44</v>
      </c>
    </row>
  </sheetData>
  <mergeCells count="19">
    <mergeCell ref="B33:B34"/>
    <mergeCell ref="D33:H33"/>
    <mergeCell ref="J33:N33"/>
    <mergeCell ref="F10:G10"/>
    <mergeCell ref="H10:I10"/>
    <mergeCell ref="J10:K10"/>
    <mergeCell ref="B12:B13"/>
    <mergeCell ref="D12:H12"/>
    <mergeCell ref="J12:N12"/>
    <mergeCell ref="B2:N2"/>
    <mergeCell ref="B4:H4"/>
    <mergeCell ref="D7:E10"/>
    <mergeCell ref="F7:G9"/>
    <mergeCell ref="H7:I7"/>
    <mergeCell ref="J7:K7"/>
    <mergeCell ref="H8:I8"/>
    <mergeCell ref="J8:K8"/>
    <mergeCell ref="H9:I9"/>
    <mergeCell ref="J9:K9"/>
  </mergeCells>
  <dataValidations count="4">
    <dataValidation type="list" allowBlank="1" showInputMessage="1" showErrorMessage="1" sqref="ELS64216 EVO64216 FFK64216 FPG64216 FZC64216 GIY64216 GSU64216 HCQ64216 HMM64216 HWI64216 IGE64216 IQA64216 IZW64216 JJS64216 JTO64216 KDK64216 KNG64216 KXC64216 LGY64216 LQU64216 MAQ64216 MKM64216 MUI64216 NEE64216 NOA64216 NXW64216 OHS64216 ORO64216 PBK64216 PLG64216 PVC64216 QEY64216 QOU64216 QYQ64216 RIM64216 RSI64216 SCE64216 SMA64216 SVW64216 TFS64216 TPO64216 TZK64216 UJG64216 UTC64216 VCY64216 VMU64216 VWQ64216 WGM64216 WQI64216 DW64216 DW129752 NS129752 XO129752 AHK129752 ARG129752 BBC129752 BKY129752 BUU129752 CEQ129752 COM129752 CYI129752 DIE129752 DSA129752 EBW129752 ELS129752 EVO129752 FFK129752 FPG129752 FZC129752 GIY129752 GSU129752 HCQ129752 HMM129752 HWI129752 IGE129752 IQA129752 IZW129752 JJS129752 JTO129752 KDK129752 KNG129752 KXC129752 LGY129752 LQU129752 MAQ129752 MKM129752 MUI129752 NEE129752 NOA129752 NXW129752 OHS129752 ORO129752 PBK129752 PLG129752 PVC129752 QEY129752 QOU129752 QYQ129752 RIM129752 RSI129752 SCE129752 SMA129752 SVW129752 TFS129752 TPO129752 TZK129752 UJG129752 UTC129752 VCY129752 VMU129752 VWQ129752 WGM129752 WQI129752 NS64216 DW195288 NS195288 XO195288 AHK195288 ARG195288 BBC195288 BKY195288 BUU195288 CEQ195288 COM195288 CYI195288 DIE195288 DSA195288 EBW195288 ELS195288 EVO195288 FFK195288 FPG195288 FZC195288 GIY195288 GSU195288 HCQ195288 HMM195288 HWI195288 IGE195288 IQA195288 IZW195288 JJS195288 JTO195288 KDK195288 KNG195288 KXC195288 LGY195288 LQU195288 MAQ195288 MKM195288 MUI195288 NEE195288 NOA195288 NXW195288 OHS195288 ORO195288 PBK195288 PLG195288 PVC195288 QEY195288 QOU195288 QYQ195288 RIM195288 RSI195288 SCE195288 SMA195288 SVW195288 TFS195288 TPO195288 TZK195288 UJG195288 UTC195288 VCY195288 VMU195288 VWQ195288 WGM195288 WQI195288 XO64216 DW260824 NS260824 XO260824 AHK260824 ARG260824 BBC260824 BKY260824 BUU260824 CEQ260824 COM260824 CYI260824 DIE260824 DSA260824 EBW260824 ELS260824 EVO260824 FFK260824 FPG260824 FZC260824 GIY260824 GSU260824 HCQ260824 HMM260824 HWI260824 IGE260824 IQA260824 IZW260824 JJS260824 JTO260824 KDK260824 KNG260824 KXC260824 LGY260824 LQU260824 MAQ260824 MKM260824 MUI260824 NEE260824 NOA260824 NXW260824 OHS260824 ORO260824 PBK260824 PLG260824 PVC260824 QEY260824 QOU260824 QYQ260824 RIM260824 RSI260824 SCE260824 SMA260824 SVW260824 TFS260824 TPO260824 TZK260824 UJG260824 UTC260824 VCY260824 VMU260824 VWQ260824 WGM260824 WQI260824 AHK64216 DW326360 NS326360 XO326360 AHK326360 ARG326360 BBC326360 BKY326360 BUU326360 CEQ326360 COM326360 CYI326360 DIE326360 DSA326360 EBW326360 ELS326360 EVO326360 FFK326360 FPG326360 FZC326360 GIY326360 GSU326360 HCQ326360 HMM326360 HWI326360 IGE326360 IQA326360 IZW326360 JJS326360 JTO326360 KDK326360 KNG326360 KXC326360 LGY326360 LQU326360 MAQ326360 MKM326360 MUI326360 NEE326360 NOA326360 NXW326360 OHS326360 ORO326360 PBK326360 PLG326360 PVC326360 QEY326360 QOU326360 QYQ326360 RIM326360 RSI326360 SCE326360 SMA326360 SVW326360 TFS326360 TPO326360 TZK326360 UJG326360 UTC326360 VCY326360 VMU326360 VWQ326360 WGM326360 WQI326360 ARG64216 DW391896 NS391896 XO391896 AHK391896 ARG391896 BBC391896 BKY391896 BUU391896 CEQ391896 COM391896 CYI391896 DIE391896 DSA391896 EBW391896 ELS391896 EVO391896 FFK391896 FPG391896 FZC391896 GIY391896 GSU391896 HCQ391896 HMM391896 HWI391896 IGE391896 IQA391896 IZW391896 JJS391896 JTO391896 KDK391896 KNG391896 KXC391896 LGY391896 LQU391896 MAQ391896 MKM391896 MUI391896 NEE391896 NOA391896 NXW391896 OHS391896 ORO391896 PBK391896 PLG391896 PVC391896 QEY391896 QOU391896 QYQ391896 RIM391896 RSI391896 SCE391896 SMA391896 SVW391896 TFS391896 TPO391896 TZK391896 UJG391896 UTC391896 VCY391896 VMU391896 VWQ391896 WGM391896 WQI391896 BBC64216 DW457432 NS457432 XO457432 AHK457432 ARG457432 BBC457432 BKY457432 BUU457432 CEQ457432 COM457432 CYI457432 DIE457432 DSA457432 EBW457432 ELS457432 EVO457432 FFK457432 FPG457432 FZC457432 GIY457432 GSU457432 HCQ457432 HMM457432 HWI457432 IGE457432 IQA457432 IZW457432 JJS457432 JTO457432 KDK457432 KNG457432 KXC457432 LGY457432 LQU457432 MAQ457432 MKM457432 MUI457432 NEE457432 NOA457432 NXW457432 OHS457432 ORO457432 PBK457432 PLG457432 PVC457432 QEY457432 QOU457432 QYQ457432 RIM457432 RSI457432 SCE457432 SMA457432 SVW457432 TFS457432 TPO457432 TZK457432 UJG457432 UTC457432 VCY457432 VMU457432 VWQ457432 WGM457432 WQI457432 BKY64216 DW522968 NS522968 XO522968 AHK522968 ARG522968 BBC522968 BKY522968 BUU522968 CEQ522968 COM522968 CYI522968 DIE522968 DSA522968 EBW522968 ELS522968 EVO522968 FFK522968 FPG522968 FZC522968 GIY522968 GSU522968 HCQ522968 HMM522968 HWI522968 IGE522968 IQA522968 IZW522968 JJS522968 JTO522968 KDK522968 KNG522968 KXC522968 LGY522968 LQU522968 MAQ522968 MKM522968 MUI522968 NEE522968 NOA522968 NXW522968 OHS522968 ORO522968 PBK522968 PLG522968 PVC522968 QEY522968 QOU522968 QYQ522968 RIM522968 RSI522968 SCE522968 SMA522968 SVW522968 TFS522968 TPO522968 TZK522968 UJG522968 UTC522968 VCY522968 VMU522968 VWQ522968 WGM522968 WQI522968 BUU64216 DW588504 NS588504 XO588504 AHK588504 ARG588504 BBC588504 BKY588504 BUU588504 CEQ588504 COM588504 CYI588504 DIE588504 DSA588504 EBW588504 ELS588504 EVO588504 FFK588504 FPG588504 FZC588504 GIY588504 GSU588504 HCQ588504 HMM588504 HWI588504 IGE588504 IQA588504 IZW588504 JJS588504 JTO588504 KDK588504 KNG588504 KXC588504 LGY588504 LQU588504 MAQ588504 MKM588504 MUI588504 NEE588504 NOA588504 NXW588504 OHS588504 ORO588504 PBK588504 PLG588504 PVC588504 QEY588504 QOU588504 QYQ588504 RIM588504 RSI588504 SCE588504 SMA588504 SVW588504 TFS588504 TPO588504 TZK588504 UJG588504 UTC588504 VCY588504 VMU588504 VWQ588504 WGM588504 WQI588504 CEQ64216 DW654040 NS654040 XO654040 AHK654040 ARG654040 BBC654040 BKY654040 BUU654040 CEQ654040 COM654040 CYI654040 DIE654040 DSA654040 EBW654040 ELS654040 EVO654040 FFK654040 FPG654040 FZC654040 GIY654040 GSU654040 HCQ654040 HMM654040 HWI654040 IGE654040 IQA654040 IZW654040 JJS654040 JTO654040 KDK654040 KNG654040 KXC654040 LGY654040 LQU654040 MAQ654040 MKM654040 MUI654040 NEE654040 NOA654040 NXW654040 OHS654040 ORO654040 PBK654040 PLG654040 PVC654040 QEY654040 QOU654040 QYQ654040 RIM654040 RSI654040 SCE654040 SMA654040 SVW654040 TFS654040 TPO654040 TZK654040 UJG654040 UTC654040 VCY654040 VMU654040 VWQ654040 WGM654040 WQI654040 COM64216 DW719576 NS719576 XO719576 AHK719576 ARG719576 BBC719576 BKY719576 BUU719576 CEQ719576 COM719576 CYI719576 DIE719576 DSA719576 EBW719576 ELS719576 EVO719576 FFK719576 FPG719576 FZC719576 GIY719576 GSU719576 HCQ719576 HMM719576 HWI719576 IGE719576 IQA719576 IZW719576 JJS719576 JTO719576 KDK719576 KNG719576 KXC719576 LGY719576 LQU719576 MAQ719576 MKM719576 MUI719576 NEE719576 NOA719576 NXW719576 OHS719576 ORO719576 PBK719576 PLG719576 PVC719576 QEY719576 QOU719576 QYQ719576 RIM719576 RSI719576 SCE719576 SMA719576 SVW719576 TFS719576 TPO719576 TZK719576 UJG719576 UTC719576 VCY719576 VMU719576 VWQ719576 WGM719576 WQI719576 CYI64216 DW785112 NS785112 XO785112 AHK785112 ARG785112 BBC785112 BKY785112 BUU785112 CEQ785112 COM785112 CYI785112 DIE785112 DSA785112 EBW785112 ELS785112 EVO785112 FFK785112 FPG785112 FZC785112 GIY785112 GSU785112 HCQ785112 HMM785112 HWI785112 IGE785112 IQA785112 IZW785112 JJS785112 JTO785112 KDK785112 KNG785112 KXC785112 LGY785112 LQU785112 MAQ785112 MKM785112 MUI785112 NEE785112 NOA785112 NXW785112 OHS785112 ORO785112 PBK785112 PLG785112 PVC785112 QEY785112 QOU785112 QYQ785112 RIM785112 RSI785112 SCE785112 SMA785112 SVW785112 TFS785112 TPO785112 TZK785112 UJG785112 UTC785112 VCY785112 VMU785112 VWQ785112 WGM785112 WQI785112 DIE64216 DW850648 NS850648 XO850648 AHK850648 ARG850648 BBC850648 BKY850648 BUU850648 CEQ850648 COM850648 CYI850648 DIE850648 DSA850648 EBW850648 ELS850648 EVO850648 FFK850648 FPG850648 FZC850648 GIY850648 GSU850648 HCQ850648 HMM850648 HWI850648 IGE850648 IQA850648 IZW850648 JJS850648 JTO850648 KDK850648 KNG850648 KXC850648 LGY850648 LQU850648 MAQ850648 MKM850648 MUI850648 NEE850648 NOA850648 NXW850648 OHS850648 ORO850648 PBK850648 PLG850648 PVC850648 QEY850648 QOU850648 QYQ850648 RIM850648 RSI850648 SCE850648 SMA850648 SVW850648 TFS850648 TPO850648 TZK850648 UJG850648 UTC850648 VCY850648 VMU850648 VWQ850648 WGM850648 WQI850648 DSA64216 DW916184 NS916184 XO916184 AHK916184 ARG916184 BBC916184 BKY916184 BUU916184 CEQ916184 COM916184 CYI916184 DIE916184 DSA916184 EBW916184 ELS916184 EVO916184 FFK916184 FPG916184 FZC916184 GIY916184 GSU916184 HCQ916184 HMM916184 HWI916184 IGE916184 IQA916184 IZW916184 JJS916184 JTO916184 KDK916184 KNG916184 KXC916184 LGY916184 LQU916184 MAQ916184 MKM916184 MUI916184 NEE916184 NOA916184 NXW916184 OHS916184 ORO916184 PBK916184 PLG916184 PVC916184 QEY916184 QOU916184 QYQ916184 RIM916184 RSI916184 SCE916184 SMA916184 SVW916184 TFS916184 TPO916184 TZK916184 UJG916184 UTC916184 VCY916184 VMU916184 VWQ916184 WGM916184 WQI916184 EBW64216 DW981720 NS981720 XO981720 AHK981720 ARG981720 BBC981720 BKY981720 BUU981720 CEQ981720 COM981720 CYI981720 DIE981720 DSA981720 EBW981720 ELS981720 EVO981720 FFK981720 FPG981720 FZC981720 GIY981720 GSU981720 HCQ981720 HMM981720 HWI981720 IGE981720 IQA981720 IZW981720 JJS981720 JTO981720 KDK981720 KNG981720 KXC981720 LGY981720 LQU981720 MAQ981720 MKM981720 MUI981720 NEE981720 NOA981720 NXW981720 OHS981720 ORO981720 PBK981720 PLG981720 PVC981720 QEY981720 QOU981720 QYQ981720 RIM981720 RSI981720 SCE981720 SMA981720 SVW981720 TFS981720 TPO981720 TZK981720 UJG981720 UTC981720 VCY981720 VMU981720 VWQ981720 WGM981720 WQI981720" xr:uid="{1E2810F6-8B47-47F4-AB2A-1777D21ACE9A}">
      <formula1>$B$63275:$B$63974</formula1>
    </dataValidation>
    <dataValidation type="list" allowBlank="1" showInputMessage="1" showErrorMessage="1" sqref="DW5 EVO5 ELS5 EBW5 DSA5 DIE5 CYI5 COM5 CEQ5 BUU5 BKY5 BBC5 ARG5 AHK5 XO5 NS5 WQI5 WGM5 VWQ5 VMU5 VCY5 UTC5 UJG5 TZK5 TPO5 TFS5 SVW5 SMA5 SCE5 RSI5 RIM5 QYQ5 QOU5 QEY5 PVC5 PLG5 PBK5 ORO5 OHS5 NXW5 NOA5 NEE5 MUI5 MKM5 MAQ5 LQU5 LGY5 KXC5 KNG5 KDK5 JTO5 JJS5 IZW5 IQA5 IGE5 HWI5 HMM5 HCQ5 GSU5 GIY5 FZC5 FPG5 FFK5" xr:uid="{47CD9FA7-10F5-4CCB-ACBD-DA592A4486E6}">
      <formula1>$B$63446:$B$64145</formula1>
    </dataValidation>
    <dataValidation type="list" allowBlank="1" showInputMessage="1" showErrorMessage="1" sqref="B5" xr:uid="{948A1DF1-8B36-4222-A169-4FB7D24CE213}">
      <formula1>$B$63359:$B$64058</formula1>
    </dataValidation>
    <dataValidation type="list" allowBlank="1" showInputMessage="1" showErrorMessage="1" sqref="B64281 B981785 B916249 B850713 B785177 B719641 B654105 B588569 B523033 B457497 B391961 B326425 B260889 B195353 B129817" xr:uid="{9C0B34AF-31C6-4BAA-B297-1EFD012D373D}">
      <formula1>$B$63349:$B$64048</formula1>
    </dataValidation>
  </dataValidations>
  <pageMargins left="0.7" right="0.7" top="0.75" bottom="0.75" header="0.3" footer="0.3"/>
  <pageSetup scale="63" fitToHeight="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W18"/>
  <sheetViews>
    <sheetView zoomScale="87" zoomScaleNormal="87" workbookViewId="0">
      <pane xSplit="3" ySplit="7" topLeftCell="D8" activePane="bottomRight" state="frozen"/>
      <selection pane="topRight" activeCell="D1" sqref="D1"/>
      <selection pane="bottomLeft" activeCell="A8" sqref="A8"/>
      <selection pane="bottomRight" activeCell="C11" sqref="C11"/>
    </sheetView>
  </sheetViews>
  <sheetFormatPr baseColWidth="10" defaultColWidth="11.42578125" defaultRowHeight="12.75" x14ac:dyDescent="0.2"/>
  <cols>
    <col min="1" max="1" width="8.5703125" style="56" bestFit="1" customWidth="1"/>
    <col min="2" max="2" width="38.28515625" style="56" bestFit="1" customWidth="1"/>
    <col min="3" max="3" width="18.140625" style="55" bestFit="1" customWidth="1"/>
    <col min="4" max="5" width="18.140625" style="66" bestFit="1" customWidth="1"/>
    <col min="6" max="7" width="18.140625" style="66" customWidth="1"/>
    <col min="8" max="8" width="14.28515625" style="66" bestFit="1" customWidth="1"/>
    <col min="9" max="9" width="15" style="66" customWidth="1"/>
    <col min="10" max="10" width="10.5703125" style="66" customWidth="1"/>
    <col min="11" max="12" width="10.140625" style="66" customWidth="1"/>
    <col min="13" max="13" width="10" style="66" customWidth="1"/>
    <col min="14" max="16384" width="11.42578125" style="84"/>
  </cols>
  <sheetData>
    <row r="1" spans="1:23" s="82" customFormat="1" ht="15" x14ac:dyDescent="0.25">
      <c r="A1" s="77"/>
      <c r="B1" s="77"/>
      <c r="C1" s="77" t="s">
        <v>45</v>
      </c>
      <c r="D1" s="77" t="s">
        <v>45</v>
      </c>
      <c r="E1" s="77" t="s">
        <v>45</v>
      </c>
      <c r="F1" s="77" t="s">
        <v>45</v>
      </c>
      <c r="G1" s="77" t="s">
        <v>45</v>
      </c>
      <c r="H1" s="77"/>
      <c r="I1" s="77" t="s">
        <v>45</v>
      </c>
      <c r="J1" s="77" t="s">
        <v>45</v>
      </c>
      <c r="K1" s="77" t="s">
        <v>45</v>
      </c>
      <c r="L1" s="77" t="s">
        <v>45</v>
      </c>
      <c r="M1" s="77" t="s">
        <v>45</v>
      </c>
      <c r="N1" s="81"/>
      <c r="O1" s="81"/>
      <c r="P1" s="81"/>
      <c r="Q1" s="81"/>
      <c r="R1" s="81"/>
      <c r="S1" s="81"/>
      <c r="T1" s="81"/>
      <c r="U1" s="81"/>
      <c r="V1" s="81"/>
      <c r="W1" s="81"/>
    </row>
    <row r="2" spans="1:23" s="82" customFormat="1" ht="15" x14ac:dyDescent="0.25">
      <c r="A2" s="77"/>
      <c r="B2" s="77"/>
      <c r="C2" s="76" t="s">
        <v>105</v>
      </c>
      <c r="D2" s="76" t="s">
        <v>105</v>
      </c>
      <c r="E2" s="76" t="s">
        <v>105</v>
      </c>
      <c r="F2" s="76" t="s">
        <v>105</v>
      </c>
      <c r="G2" s="76" t="s">
        <v>96</v>
      </c>
      <c r="H2" s="77"/>
      <c r="I2" s="76" t="s">
        <v>105</v>
      </c>
      <c r="J2" s="76" t="s">
        <v>105</v>
      </c>
      <c r="K2" s="76" t="s">
        <v>105</v>
      </c>
      <c r="L2" s="76" t="s">
        <v>105</v>
      </c>
      <c r="M2" s="76" t="s">
        <v>96</v>
      </c>
      <c r="N2" s="81"/>
      <c r="O2" s="81"/>
      <c r="P2" s="81"/>
      <c r="Q2" s="81"/>
      <c r="R2" s="81"/>
      <c r="S2" s="81"/>
      <c r="T2" s="81"/>
      <c r="U2" s="81"/>
      <c r="V2" s="81"/>
      <c r="W2" s="81"/>
    </row>
    <row r="3" spans="1:23" s="82" customFormat="1" ht="15" x14ac:dyDescent="0.25">
      <c r="A3" s="77"/>
      <c r="B3" s="77"/>
      <c r="C3" s="77"/>
      <c r="D3" s="77"/>
      <c r="E3" s="77"/>
      <c r="F3" s="77"/>
      <c r="G3" s="77"/>
      <c r="H3" s="77"/>
      <c r="I3" s="77"/>
      <c r="J3" s="77"/>
      <c r="K3" s="77"/>
      <c r="L3" s="77"/>
      <c r="M3" s="77"/>
      <c r="N3" s="81"/>
      <c r="O3" s="81"/>
      <c r="P3" s="81"/>
      <c r="Q3" s="81"/>
      <c r="R3" s="81"/>
      <c r="S3" s="81"/>
      <c r="T3" s="81"/>
      <c r="U3" s="81"/>
      <c r="V3" s="81"/>
      <c r="W3" s="81"/>
    </row>
    <row r="4" spans="1:23" s="82" customFormat="1" ht="15" x14ac:dyDescent="0.25">
      <c r="A4" s="77"/>
      <c r="B4" s="77"/>
      <c r="C4" s="77" t="s">
        <v>46</v>
      </c>
      <c r="D4" s="77" t="s">
        <v>46</v>
      </c>
      <c r="E4" s="77" t="s">
        <v>46</v>
      </c>
      <c r="F4" s="77" t="s">
        <v>46</v>
      </c>
      <c r="G4" s="77" t="s">
        <v>46</v>
      </c>
      <c r="H4" s="77"/>
      <c r="I4" s="77" t="s">
        <v>46</v>
      </c>
      <c r="J4" s="77" t="s">
        <v>46</v>
      </c>
      <c r="K4" s="77" t="s">
        <v>46</v>
      </c>
      <c r="L4" s="77" t="s">
        <v>46</v>
      </c>
      <c r="M4" s="77" t="s">
        <v>46</v>
      </c>
      <c r="N4" s="81"/>
      <c r="O4" s="81"/>
      <c r="P4" s="81"/>
      <c r="Q4" s="81"/>
      <c r="R4" s="81"/>
      <c r="S4" s="81"/>
      <c r="T4" s="81"/>
      <c r="U4" s="81"/>
      <c r="V4" s="81"/>
      <c r="W4" s="81"/>
    </row>
    <row r="5" spans="1:23" s="82" customFormat="1" ht="15" x14ac:dyDescent="0.25">
      <c r="A5" s="77"/>
      <c r="B5" s="77"/>
      <c r="C5" s="77" t="s">
        <v>47</v>
      </c>
      <c r="D5" s="77" t="s">
        <v>47</v>
      </c>
      <c r="E5" s="77" t="s">
        <v>47</v>
      </c>
      <c r="F5" s="77" t="s">
        <v>47</v>
      </c>
      <c r="G5" s="77" t="s">
        <v>47</v>
      </c>
      <c r="H5" s="77"/>
      <c r="I5" s="77" t="s">
        <v>48</v>
      </c>
      <c r="J5" s="77" t="s">
        <v>48</v>
      </c>
      <c r="K5" s="77" t="s">
        <v>48</v>
      </c>
      <c r="L5" s="77" t="s">
        <v>48</v>
      </c>
      <c r="M5" s="77" t="s">
        <v>48</v>
      </c>
      <c r="N5" s="81"/>
      <c r="O5" s="81"/>
      <c r="P5" s="81"/>
      <c r="Q5" s="81"/>
      <c r="R5" s="81"/>
      <c r="S5" s="81"/>
      <c r="T5" s="81"/>
      <c r="U5" s="81"/>
      <c r="V5" s="81"/>
      <c r="W5" s="81"/>
    </row>
    <row r="6" spans="1:23" s="82" customFormat="1" ht="15" x14ac:dyDescent="0.25">
      <c r="A6" s="77"/>
      <c r="B6" s="77"/>
      <c r="C6" s="77" t="s">
        <v>104</v>
      </c>
      <c r="D6" s="77" t="s">
        <v>49</v>
      </c>
      <c r="E6" s="77" t="s">
        <v>50</v>
      </c>
      <c r="F6" s="77" t="s">
        <v>51</v>
      </c>
      <c r="G6" s="77" t="s">
        <v>95</v>
      </c>
      <c r="H6" s="77"/>
      <c r="I6" s="77" t="s">
        <v>104</v>
      </c>
      <c r="J6" s="77" t="s">
        <v>49</v>
      </c>
      <c r="K6" s="77" t="s">
        <v>50</v>
      </c>
      <c r="L6" s="77" t="s">
        <v>51</v>
      </c>
      <c r="M6" s="77" t="s">
        <v>95</v>
      </c>
      <c r="N6" s="81"/>
      <c r="O6" s="81"/>
      <c r="P6" s="81"/>
      <c r="Q6" s="81"/>
      <c r="R6" s="81"/>
      <c r="S6" s="81"/>
      <c r="T6" s="81"/>
      <c r="U6" s="81"/>
      <c r="V6" s="81"/>
      <c r="W6" s="81"/>
    </row>
    <row r="7" spans="1:23" s="82" customFormat="1" ht="15" x14ac:dyDescent="0.25">
      <c r="A7" s="77"/>
      <c r="B7" s="77"/>
      <c r="C7" s="77" t="s">
        <v>52</v>
      </c>
      <c r="D7" s="77" t="s">
        <v>52</v>
      </c>
      <c r="E7" s="77" t="s">
        <v>52</v>
      </c>
      <c r="F7" s="77" t="s">
        <v>52</v>
      </c>
      <c r="G7" s="77" t="s">
        <v>52</v>
      </c>
      <c r="H7" s="77"/>
      <c r="I7" s="77" t="s">
        <v>52</v>
      </c>
      <c r="J7" s="77" t="s">
        <v>52</v>
      </c>
      <c r="K7" s="77" t="s">
        <v>52</v>
      </c>
      <c r="L7" s="77" t="s">
        <v>52</v>
      </c>
      <c r="M7" s="77" t="s">
        <v>52</v>
      </c>
      <c r="N7" s="83"/>
      <c r="O7" s="83"/>
      <c r="P7" s="83"/>
      <c r="Q7" s="83"/>
      <c r="R7" s="83"/>
      <c r="S7" s="83"/>
      <c r="T7" s="81"/>
      <c r="U7" s="81"/>
      <c r="V7" s="81"/>
      <c r="W7" s="81"/>
    </row>
    <row r="8" spans="1:23" s="83" customFormat="1" ht="15" x14ac:dyDescent="0.25">
      <c r="A8" s="73" t="s">
        <v>97</v>
      </c>
      <c r="B8" s="53" t="s">
        <v>53</v>
      </c>
      <c r="C8" s="54">
        <v>49564.628000000055</v>
      </c>
      <c r="D8" s="54">
        <v>64197.01000000006</v>
      </c>
      <c r="E8" s="54">
        <v>79518.304000000062</v>
      </c>
      <c r="F8" s="54">
        <v>36448.759000000049</v>
      </c>
      <c r="G8" s="54">
        <v>134775.10700000011</v>
      </c>
      <c r="H8" s="54"/>
      <c r="I8" s="54">
        <v>11.667519999999993</v>
      </c>
      <c r="J8" s="54">
        <v>15.182599999999992</v>
      </c>
      <c r="K8" s="54">
        <v>17.883649999999992</v>
      </c>
      <c r="L8" s="54">
        <v>8.3467599999999926</v>
      </c>
      <c r="M8" s="54">
        <v>30.540040000000012</v>
      </c>
    </row>
    <row r="9" spans="1:23" ht="15" x14ac:dyDescent="0.25">
      <c r="A9" s="73" t="s">
        <v>98</v>
      </c>
      <c r="B9" s="53" t="s">
        <v>54</v>
      </c>
      <c r="C9" s="54">
        <v>10963986.185999999</v>
      </c>
      <c r="D9" s="54">
        <v>10368228.172999999</v>
      </c>
      <c r="E9" s="54">
        <v>11497994.933999998</v>
      </c>
      <c r="F9" s="54">
        <v>13463323.142999999</v>
      </c>
      <c r="G9" s="54">
        <v>13257225.522000004</v>
      </c>
      <c r="H9" s="54"/>
      <c r="I9" s="54">
        <v>2580.922329999999</v>
      </c>
      <c r="J9" s="54">
        <v>2452.085939999999</v>
      </c>
      <c r="K9" s="54">
        <v>2585.8990799999992</v>
      </c>
      <c r="L9" s="54">
        <v>3083.1010099999994</v>
      </c>
      <c r="M9" s="54">
        <v>3004.0873000000006</v>
      </c>
    </row>
    <row r="10" spans="1:23" ht="15" x14ac:dyDescent="0.25">
      <c r="A10" s="73" t="s">
        <v>99</v>
      </c>
      <c r="B10" s="53" t="s">
        <v>55</v>
      </c>
      <c r="C10" s="54">
        <v>-68248.767999999996</v>
      </c>
      <c r="D10" s="54">
        <v>-68248.767999999996</v>
      </c>
      <c r="E10" s="54">
        <v>72922.805999999997</v>
      </c>
      <c r="F10" s="54">
        <v>0</v>
      </c>
      <c r="G10" s="54">
        <v>-2.9103830456733704E-11</v>
      </c>
      <c r="H10" s="54"/>
      <c r="I10" s="54">
        <v>-16.065760000000004</v>
      </c>
      <c r="J10" s="54">
        <v>-16.140840000000004</v>
      </c>
      <c r="K10" s="54">
        <v>16.40034</v>
      </c>
      <c r="L10" s="54">
        <v>0</v>
      </c>
      <c r="M10" s="54">
        <v>0</v>
      </c>
    </row>
    <row r="11" spans="1:23" ht="15" x14ac:dyDescent="0.25">
      <c r="A11" s="73" t="s">
        <v>100</v>
      </c>
      <c r="B11" s="53" t="s">
        <v>56</v>
      </c>
      <c r="C11" s="54">
        <v>-150065.76900000003</v>
      </c>
      <c r="D11" s="54">
        <v>-36721.991000000009</v>
      </c>
      <c r="E11" s="54">
        <v>-26585.897000000004</v>
      </c>
      <c r="F11" s="54">
        <v>-30769.68</v>
      </c>
      <c r="G11" s="54">
        <v>-25871.803000000011</v>
      </c>
      <c r="H11" s="54"/>
      <c r="I11" s="54">
        <v>-35.325470000000003</v>
      </c>
      <c r="J11" s="54">
        <v>-8.6847300000000001</v>
      </c>
      <c r="K11" s="54">
        <v>-5.9791600000000003</v>
      </c>
      <c r="L11" s="54">
        <v>-7.0462499999999997</v>
      </c>
      <c r="M11" s="54">
        <v>-5.862540000000001</v>
      </c>
    </row>
    <row r="12" spans="1:23" ht="15" x14ac:dyDescent="0.25">
      <c r="A12" s="73" t="s">
        <v>101</v>
      </c>
      <c r="B12" s="53" t="s">
        <v>57</v>
      </c>
      <c r="C12" s="54">
        <v>2663398.6049999995</v>
      </c>
      <c r="D12" s="54">
        <v>3229303.8649999993</v>
      </c>
      <c r="E12" s="54">
        <v>4145218.5169999995</v>
      </c>
      <c r="F12" s="54">
        <v>4930314.0479999995</v>
      </c>
      <c r="G12" s="54">
        <v>4556791.1220000004</v>
      </c>
      <c r="H12" s="54"/>
      <c r="I12" s="54">
        <v>626.96403000000009</v>
      </c>
      <c r="J12" s="54">
        <v>763.73037000000011</v>
      </c>
      <c r="K12" s="54">
        <v>932.2596400000001</v>
      </c>
      <c r="L12" s="54">
        <v>1129.0419100000001</v>
      </c>
      <c r="M12" s="54">
        <v>1032.5688600000001</v>
      </c>
    </row>
    <row r="13" spans="1:23" ht="15" x14ac:dyDescent="0.25">
      <c r="A13" s="73" t="s">
        <v>102</v>
      </c>
      <c r="B13" s="53" t="s">
        <v>58</v>
      </c>
      <c r="C13" s="54">
        <v>0</v>
      </c>
      <c r="D13" s="54">
        <v>0</v>
      </c>
      <c r="E13" s="54">
        <v>0</v>
      </c>
      <c r="F13" s="54">
        <v>0</v>
      </c>
      <c r="G13" s="54">
        <v>0</v>
      </c>
      <c r="H13" s="54"/>
      <c r="I13" s="54">
        <v>0</v>
      </c>
      <c r="J13" s="54">
        <v>0</v>
      </c>
      <c r="K13" s="54">
        <v>0</v>
      </c>
      <c r="L13" s="54">
        <v>0</v>
      </c>
      <c r="M13" s="54">
        <v>0</v>
      </c>
    </row>
    <row r="14" spans="1:23" ht="15.75" customHeight="1" x14ac:dyDescent="0.25">
      <c r="A14" s="73" t="s">
        <v>103</v>
      </c>
      <c r="B14" s="53" t="s">
        <v>59</v>
      </c>
      <c r="C14" s="54">
        <v>0</v>
      </c>
      <c r="D14" s="54">
        <v>0</v>
      </c>
      <c r="E14" s="54">
        <v>0</v>
      </c>
      <c r="F14" s="54">
        <v>0</v>
      </c>
      <c r="G14" s="54">
        <v>0</v>
      </c>
      <c r="H14" s="54"/>
      <c r="I14" s="54">
        <v>0</v>
      </c>
      <c r="J14" s="54">
        <v>0</v>
      </c>
      <c r="K14" s="54">
        <v>0</v>
      </c>
      <c r="L14" s="54">
        <v>0</v>
      </c>
      <c r="M14" s="54">
        <v>0</v>
      </c>
    </row>
    <row r="15" spans="1:23" s="83" customFormat="1" ht="15" x14ac:dyDescent="0.25">
      <c r="A15" s="76" t="s">
        <v>60</v>
      </c>
      <c r="B15" s="77" t="s">
        <v>61</v>
      </c>
      <c r="C15" s="85">
        <f>SUM(C9:C14)</f>
        <v>13409070.254000001</v>
      </c>
      <c r="D15" s="71">
        <f t="shared" ref="D15:G15" si="0">SUM(D9:D14)</f>
        <v>13492561.278999999</v>
      </c>
      <c r="E15" s="71">
        <f t="shared" si="0"/>
        <v>15689550.359999998</v>
      </c>
      <c r="F15" s="71">
        <f t="shared" si="0"/>
        <v>18362867.511</v>
      </c>
      <c r="G15" s="71">
        <f t="shared" si="0"/>
        <v>17788144.841000006</v>
      </c>
      <c r="H15" s="59"/>
      <c r="I15" s="85">
        <f>SUM(I9:I14)</f>
        <v>3156.4951299999989</v>
      </c>
      <c r="J15" s="71">
        <f t="shared" ref="J15" si="1">SUM(J9:J14)</f>
        <v>3190.9907399999993</v>
      </c>
      <c r="K15" s="71">
        <f t="shared" ref="K15" si="2">SUM(K9:K14)</f>
        <v>3528.5798999999997</v>
      </c>
      <c r="L15" s="71">
        <f t="shared" ref="L15" si="3">SUM(L9:L14)</f>
        <v>4205.0966699999999</v>
      </c>
      <c r="M15" s="71">
        <f t="shared" ref="M15" si="4">SUM(M9:M14)</f>
        <v>4030.7936200000004</v>
      </c>
    </row>
    <row r="16" spans="1:23" ht="15" x14ac:dyDescent="0.25">
      <c r="A16" s="53"/>
      <c r="B16" s="53"/>
      <c r="C16" s="53"/>
      <c r="D16" s="53"/>
      <c r="E16" s="53"/>
      <c r="F16" s="53"/>
      <c r="G16" s="53"/>
      <c r="H16" s="53"/>
      <c r="I16" s="53"/>
      <c r="J16" s="53"/>
      <c r="K16" s="53"/>
      <c r="L16" s="53"/>
      <c r="M16" s="53"/>
    </row>
    <row r="17" spans="1:13" ht="15" x14ac:dyDescent="0.25">
      <c r="A17" s="53"/>
      <c r="B17" s="53"/>
      <c r="C17" s="75"/>
      <c r="D17" s="75"/>
      <c r="E17" s="75"/>
      <c r="F17" s="75"/>
      <c r="G17" s="75"/>
      <c r="H17" s="75"/>
      <c r="I17" s="75"/>
      <c r="J17" s="75"/>
      <c r="K17" s="75"/>
      <c r="L17" s="75"/>
      <c r="M17" s="75"/>
    </row>
    <row r="18" spans="1:13" ht="15" x14ac:dyDescent="0.25">
      <c r="A18" s="53"/>
      <c r="B18" s="53"/>
      <c r="C18" s="75"/>
      <c r="D18" s="75"/>
      <c r="E18" s="75"/>
      <c r="F18" s="75"/>
      <c r="G18" s="75"/>
      <c r="H18" s="75"/>
      <c r="I18" s="75"/>
      <c r="J18" s="75"/>
      <c r="K18" s="75"/>
      <c r="L18" s="75"/>
      <c r="M18" s="7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M26"/>
  <sheetViews>
    <sheetView workbookViewId="0">
      <pane xSplit="3" ySplit="7" topLeftCell="E8" activePane="bottomRight" state="frozen"/>
      <selection pane="topRight" activeCell="D1" sqref="D1"/>
      <selection pane="bottomLeft" activeCell="A8" sqref="A8"/>
      <selection pane="bottomRight" activeCell="C24" sqref="C24"/>
    </sheetView>
  </sheetViews>
  <sheetFormatPr baseColWidth="10" defaultColWidth="11.42578125" defaultRowHeight="15" x14ac:dyDescent="0.25"/>
  <cols>
    <col min="1" max="1" width="10.7109375" customWidth="1"/>
    <col min="2" max="2" width="34.7109375" customWidth="1"/>
    <col min="3" max="3" width="18.7109375" style="38" customWidth="1"/>
    <col min="4" max="4" width="16.5703125" style="38" customWidth="1"/>
    <col min="5" max="5" width="19.28515625" style="38" customWidth="1"/>
    <col min="6" max="6" width="16.28515625" style="38" customWidth="1"/>
    <col min="7" max="7" width="15" style="38" customWidth="1"/>
    <col min="8" max="8" width="16.85546875" style="38" customWidth="1"/>
    <col min="9" max="9" width="13.42578125" style="38" customWidth="1"/>
    <col min="10" max="10" width="14.42578125" style="38" customWidth="1"/>
    <col min="11" max="11" width="16.5703125" style="38" customWidth="1"/>
    <col min="12" max="12" width="14" style="38" customWidth="1"/>
    <col min="13" max="13" width="13.85546875" style="38" customWidth="1"/>
    <col min="14" max="16384" width="11.42578125" style="80"/>
  </cols>
  <sheetData>
    <row r="1" spans="1:13" s="78" customFormat="1" x14ac:dyDescent="0.25">
      <c r="A1" s="77"/>
      <c r="B1" s="77"/>
      <c r="C1" s="77" t="s">
        <v>45</v>
      </c>
      <c r="D1" s="77" t="s">
        <v>45</v>
      </c>
      <c r="E1" s="77" t="s">
        <v>45</v>
      </c>
      <c r="F1" s="77" t="s">
        <v>45</v>
      </c>
      <c r="G1" s="77" t="s">
        <v>45</v>
      </c>
      <c r="H1" s="77"/>
      <c r="I1" s="77" t="s">
        <v>45</v>
      </c>
      <c r="J1" s="77" t="s">
        <v>45</v>
      </c>
      <c r="K1" s="77" t="s">
        <v>45</v>
      </c>
      <c r="L1" s="77" t="s">
        <v>45</v>
      </c>
      <c r="M1" s="77" t="s">
        <v>45</v>
      </c>
    </row>
    <row r="2" spans="1:13" s="78" customFormat="1" x14ac:dyDescent="0.25">
      <c r="A2" s="77"/>
      <c r="B2" s="77"/>
      <c r="C2" s="76" t="s">
        <v>105</v>
      </c>
      <c r="D2" s="76" t="s">
        <v>105</v>
      </c>
      <c r="E2" s="76" t="s">
        <v>105</v>
      </c>
      <c r="F2" s="76" t="s">
        <v>105</v>
      </c>
      <c r="G2" s="76" t="s">
        <v>96</v>
      </c>
      <c r="H2" s="77"/>
      <c r="I2" s="76" t="s">
        <v>105</v>
      </c>
      <c r="J2" s="76" t="s">
        <v>105</v>
      </c>
      <c r="K2" s="76" t="s">
        <v>105</v>
      </c>
      <c r="L2" s="76" t="s">
        <v>105</v>
      </c>
      <c r="M2" s="76" t="s">
        <v>96</v>
      </c>
    </row>
    <row r="3" spans="1:13" s="78" customFormat="1" x14ac:dyDescent="0.25">
      <c r="A3" s="77"/>
      <c r="B3" s="77"/>
      <c r="C3" s="77"/>
      <c r="D3" s="77"/>
      <c r="E3" s="77"/>
      <c r="F3" s="77"/>
      <c r="G3" s="77"/>
      <c r="H3" s="77"/>
      <c r="I3" s="77"/>
      <c r="J3" s="77"/>
      <c r="K3" s="77"/>
      <c r="L3" s="77"/>
      <c r="M3" s="77"/>
    </row>
    <row r="4" spans="1:13" s="78" customFormat="1" x14ac:dyDescent="0.25">
      <c r="A4" s="77"/>
      <c r="B4" s="77"/>
      <c r="C4" s="77" t="s">
        <v>62</v>
      </c>
      <c r="D4" s="77" t="s">
        <v>62</v>
      </c>
      <c r="E4" s="77" t="s">
        <v>62</v>
      </c>
      <c r="F4" s="77" t="s">
        <v>62</v>
      </c>
      <c r="G4" s="77" t="s">
        <v>62</v>
      </c>
      <c r="H4" s="77"/>
      <c r="I4" s="77" t="s">
        <v>62</v>
      </c>
      <c r="J4" s="77" t="s">
        <v>62</v>
      </c>
      <c r="K4" s="77" t="s">
        <v>62</v>
      </c>
      <c r="L4" s="77" t="s">
        <v>62</v>
      </c>
      <c r="M4" s="77" t="s">
        <v>62</v>
      </c>
    </row>
    <row r="5" spans="1:13" s="78" customFormat="1" x14ac:dyDescent="0.25">
      <c r="A5" s="77"/>
      <c r="B5" s="77"/>
      <c r="C5" s="77" t="s">
        <v>47</v>
      </c>
      <c r="D5" s="77" t="s">
        <v>47</v>
      </c>
      <c r="E5" s="77" t="s">
        <v>47</v>
      </c>
      <c r="F5" s="77" t="s">
        <v>47</v>
      </c>
      <c r="G5" s="77" t="s">
        <v>47</v>
      </c>
      <c r="H5" s="77"/>
      <c r="I5" s="77" t="s">
        <v>48</v>
      </c>
      <c r="J5" s="77" t="s">
        <v>48</v>
      </c>
      <c r="K5" s="77" t="s">
        <v>48</v>
      </c>
      <c r="L5" s="77" t="s">
        <v>48</v>
      </c>
      <c r="M5" s="77" t="s">
        <v>48</v>
      </c>
    </row>
    <row r="6" spans="1:13" s="78" customFormat="1" x14ac:dyDescent="0.25">
      <c r="A6" s="77"/>
      <c r="B6" s="77"/>
      <c r="C6" s="77" t="s">
        <v>104</v>
      </c>
      <c r="D6" s="77" t="s">
        <v>49</v>
      </c>
      <c r="E6" s="77" t="s">
        <v>50</v>
      </c>
      <c r="F6" s="77" t="s">
        <v>51</v>
      </c>
      <c r="G6" s="77" t="s">
        <v>95</v>
      </c>
      <c r="H6" s="77"/>
      <c r="I6" s="77" t="s">
        <v>104</v>
      </c>
      <c r="J6" s="77" t="s">
        <v>49</v>
      </c>
      <c r="K6" s="77" t="s">
        <v>50</v>
      </c>
      <c r="L6" s="77" t="s">
        <v>51</v>
      </c>
      <c r="M6" s="77" t="s">
        <v>95</v>
      </c>
    </row>
    <row r="7" spans="1:13" s="79" customFormat="1" x14ac:dyDescent="0.25">
      <c r="A7" s="77"/>
      <c r="B7" s="77"/>
      <c r="C7" s="77" t="s">
        <v>52</v>
      </c>
      <c r="D7" s="77" t="s">
        <v>52</v>
      </c>
      <c r="E7" s="77" t="s">
        <v>52</v>
      </c>
      <c r="F7" s="77" t="s">
        <v>52</v>
      </c>
      <c r="G7" s="77" t="s">
        <v>52</v>
      </c>
      <c r="H7" s="77"/>
      <c r="I7" s="77" t="s">
        <v>52</v>
      </c>
      <c r="J7" s="77" t="s">
        <v>52</v>
      </c>
      <c r="K7" s="77" t="s">
        <v>52</v>
      </c>
      <c r="L7" s="77" t="s">
        <v>52</v>
      </c>
      <c r="M7" s="77" t="s">
        <v>52</v>
      </c>
    </row>
    <row r="8" spans="1:13" hidden="1" x14ac:dyDescent="0.25">
      <c r="A8" s="53" t="s">
        <v>63</v>
      </c>
      <c r="B8" s="53" t="s">
        <v>64</v>
      </c>
      <c r="C8" s="53">
        <v>0</v>
      </c>
      <c r="D8" s="53">
        <v>0</v>
      </c>
      <c r="E8" s="53">
        <v>0</v>
      </c>
      <c r="F8" s="53">
        <v>0</v>
      </c>
      <c r="G8" s="53">
        <v>0</v>
      </c>
      <c r="H8" s="53"/>
      <c r="I8" s="53">
        <v>0</v>
      </c>
      <c r="J8" s="53">
        <v>0</v>
      </c>
      <c r="K8" s="53">
        <v>0</v>
      </c>
      <c r="L8" s="53">
        <v>0</v>
      </c>
      <c r="M8" s="53">
        <v>0</v>
      </c>
    </row>
    <row r="9" spans="1:13" hidden="1" x14ac:dyDescent="0.25">
      <c r="A9" s="53" t="s">
        <v>65</v>
      </c>
      <c r="B9" s="53" t="s">
        <v>66</v>
      </c>
      <c r="C9" s="53">
        <v>0</v>
      </c>
      <c r="D9" s="53">
        <v>0</v>
      </c>
      <c r="E9" s="53">
        <v>0</v>
      </c>
      <c r="F9" s="53">
        <v>0</v>
      </c>
      <c r="G9" s="53">
        <v>0</v>
      </c>
      <c r="H9" s="53"/>
      <c r="I9" s="53">
        <v>0</v>
      </c>
      <c r="J9" s="53">
        <v>0</v>
      </c>
      <c r="K9" s="53">
        <v>0</v>
      </c>
      <c r="L9" s="53">
        <v>0</v>
      </c>
      <c r="M9" s="53">
        <v>0</v>
      </c>
    </row>
    <row r="10" spans="1:13" hidden="1" x14ac:dyDescent="0.25">
      <c r="A10" s="73" t="s">
        <v>67</v>
      </c>
      <c r="B10" s="53" t="s">
        <v>68</v>
      </c>
      <c r="C10" s="53">
        <v>0</v>
      </c>
      <c r="D10" s="53">
        <v>0</v>
      </c>
      <c r="E10" s="53">
        <v>0</v>
      </c>
      <c r="F10" s="53">
        <v>0</v>
      </c>
      <c r="G10" s="53">
        <v>0</v>
      </c>
      <c r="H10" s="53"/>
      <c r="I10" s="53">
        <v>0</v>
      </c>
      <c r="J10" s="53">
        <v>0</v>
      </c>
      <c r="K10" s="53">
        <v>0</v>
      </c>
      <c r="L10" s="53">
        <v>0</v>
      </c>
      <c r="M10" s="53">
        <v>0</v>
      </c>
    </row>
    <row r="11" spans="1:13" hidden="1" x14ac:dyDescent="0.25">
      <c r="A11" s="73" t="s">
        <v>69</v>
      </c>
      <c r="B11" s="53" t="s">
        <v>70</v>
      </c>
      <c r="C11" s="53">
        <v>0</v>
      </c>
      <c r="D11" s="53">
        <v>0</v>
      </c>
      <c r="E11" s="53">
        <v>0</v>
      </c>
      <c r="F11" s="53">
        <v>0</v>
      </c>
      <c r="G11" s="53">
        <v>0</v>
      </c>
      <c r="H11" s="53"/>
      <c r="I11" s="53">
        <v>0</v>
      </c>
      <c r="J11" s="53">
        <v>0</v>
      </c>
      <c r="K11" s="53">
        <v>0</v>
      </c>
      <c r="L11" s="53">
        <v>0</v>
      </c>
      <c r="M11" s="53">
        <v>0</v>
      </c>
    </row>
    <row r="12" spans="1:13" hidden="1" x14ac:dyDescent="0.25">
      <c r="A12" s="73" t="s">
        <v>71</v>
      </c>
      <c r="B12" s="53" t="s">
        <v>72</v>
      </c>
      <c r="C12" s="53">
        <v>0</v>
      </c>
      <c r="D12" s="53">
        <v>0</v>
      </c>
      <c r="E12" s="53">
        <v>0</v>
      </c>
      <c r="F12" s="53">
        <v>0</v>
      </c>
      <c r="G12" s="53">
        <v>0</v>
      </c>
      <c r="H12" s="53"/>
      <c r="I12" s="53">
        <v>0</v>
      </c>
      <c r="J12" s="53">
        <v>0</v>
      </c>
      <c r="K12" s="53">
        <v>0</v>
      </c>
      <c r="L12" s="53">
        <v>0</v>
      </c>
      <c r="M12" s="53">
        <v>0</v>
      </c>
    </row>
    <row r="13" spans="1:13" hidden="1" x14ac:dyDescent="0.25">
      <c r="A13" s="73" t="s">
        <v>73</v>
      </c>
      <c r="B13" s="53" t="s">
        <v>74</v>
      </c>
      <c r="C13" s="53">
        <v>0</v>
      </c>
      <c r="D13" s="53">
        <v>0</v>
      </c>
      <c r="E13" s="53">
        <v>0</v>
      </c>
      <c r="F13" s="53">
        <v>0</v>
      </c>
      <c r="G13" s="53">
        <v>4.6566128730773926E-10</v>
      </c>
      <c r="H13" s="53"/>
      <c r="I13" s="53">
        <v>0</v>
      </c>
      <c r="J13" s="53">
        <v>0</v>
      </c>
      <c r="K13" s="53">
        <v>0</v>
      </c>
      <c r="L13" s="53">
        <v>0</v>
      </c>
      <c r="M13" s="53">
        <v>0</v>
      </c>
    </row>
    <row r="14" spans="1:13" hidden="1" x14ac:dyDescent="0.25">
      <c r="A14" s="73" t="s">
        <v>75</v>
      </c>
      <c r="B14" s="53" t="s">
        <v>76</v>
      </c>
      <c r="C14" s="53">
        <v>0</v>
      </c>
      <c r="D14" s="53">
        <v>0</v>
      </c>
      <c r="E14" s="53">
        <v>0</v>
      </c>
      <c r="F14" s="53">
        <v>0</v>
      </c>
      <c r="G14" s="53">
        <v>0</v>
      </c>
      <c r="H14" s="53"/>
      <c r="I14" s="53">
        <v>0</v>
      </c>
      <c r="J14" s="53">
        <v>0</v>
      </c>
      <c r="K14" s="53">
        <v>0</v>
      </c>
      <c r="L14" s="53">
        <v>0</v>
      </c>
      <c r="M14" s="53">
        <v>0</v>
      </c>
    </row>
    <row r="15" spans="1:13" hidden="1" x14ac:dyDescent="0.25">
      <c r="A15" s="73" t="s">
        <v>77</v>
      </c>
      <c r="B15" s="53" t="s">
        <v>78</v>
      </c>
      <c r="C15" s="53">
        <v>0</v>
      </c>
      <c r="D15" s="53">
        <v>0</v>
      </c>
      <c r="E15" s="53">
        <v>0</v>
      </c>
      <c r="F15" s="53">
        <v>0</v>
      </c>
      <c r="G15" s="53">
        <v>0</v>
      </c>
      <c r="H15" s="53"/>
      <c r="I15" s="53">
        <v>0</v>
      </c>
      <c r="J15" s="53">
        <v>0</v>
      </c>
      <c r="K15" s="53">
        <v>0</v>
      </c>
      <c r="L15" s="53">
        <v>0</v>
      </c>
      <c r="M15" s="53">
        <v>0</v>
      </c>
    </row>
    <row r="16" spans="1:13" hidden="1" x14ac:dyDescent="0.25">
      <c r="A16" s="73" t="s">
        <v>79</v>
      </c>
      <c r="B16" s="53" t="s">
        <v>80</v>
      </c>
      <c r="C16" s="53">
        <v>0</v>
      </c>
      <c r="D16" s="53">
        <v>0</v>
      </c>
      <c r="E16" s="53">
        <v>0</v>
      </c>
      <c r="F16" s="53">
        <v>0</v>
      </c>
      <c r="G16" s="53">
        <v>0</v>
      </c>
      <c r="H16" s="53"/>
      <c r="I16" s="53">
        <v>0</v>
      </c>
      <c r="J16" s="53">
        <v>0</v>
      </c>
      <c r="K16" s="53">
        <v>0</v>
      </c>
      <c r="L16" s="53">
        <v>0</v>
      </c>
      <c r="M16" s="53">
        <v>0</v>
      </c>
    </row>
    <row r="17" spans="1:13" hidden="1" x14ac:dyDescent="0.25">
      <c r="A17" s="53" t="s">
        <v>81</v>
      </c>
      <c r="B17" s="53" t="s">
        <v>82</v>
      </c>
      <c r="C17" s="53">
        <v>0</v>
      </c>
      <c r="D17" s="53">
        <v>0</v>
      </c>
      <c r="E17" s="53">
        <v>0</v>
      </c>
      <c r="F17" s="53">
        <v>0</v>
      </c>
      <c r="G17" s="53">
        <v>4.6566128730773926E-10</v>
      </c>
      <c r="H17" s="53"/>
      <c r="I17" s="53">
        <v>0</v>
      </c>
      <c r="J17" s="53">
        <v>0</v>
      </c>
      <c r="K17" s="53">
        <v>0</v>
      </c>
      <c r="L17" s="53">
        <v>0</v>
      </c>
      <c r="M17" s="53">
        <v>0</v>
      </c>
    </row>
    <row r="18" spans="1:13" hidden="1" x14ac:dyDescent="0.25">
      <c r="A18" s="53" t="s">
        <v>83</v>
      </c>
      <c r="B18" s="53" t="s">
        <v>84</v>
      </c>
      <c r="C18" s="53">
        <v>0</v>
      </c>
      <c r="D18" s="53">
        <v>0</v>
      </c>
      <c r="E18" s="53">
        <v>0</v>
      </c>
      <c r="F18" s="53">
        <v>0</v>
      </c>
      <c r="G18" s="53">
        <v>0</v>
      </c>
      <c r="H18" s="53"/>
      <c r="I18" s="53">
        <v>0</v>
      </c>
      <c r="J18" s="53">
        <v>0</v>
      </c>
      <c r="K18" s="53">
        <v>0</v>
      </c>
      <c r="L18" s="53">
        <v>0</v>
      </c>
      <c r="M18" s="53">
        <v>0</v>
      </c>
    </row>
    <row r="19" spans="1:13" hidden="1" x14ac:dyDescent="0.25">
      <c r="A19" s="53" t="s">
        <v>85</v>
      </c>
      <c r="B19" s="53" t="s">
        <v>86</v>
      </c>
      <c r="C19" s="53">
        <v>0</v>
      </c>
      <c r="D19" s="53">
        <v>0</v>
      </c>
      <c r="E19" s="53">
        <v>0</v>
      </c>
      <c r="F19" s="53">
        <v>0</v>
      </c>
      <c r="G19" s="53">
        <v>0</v>
      </c>
      <c r="H19" s="53"/>
      <c r="I19" s="53">
        <v>0</v>
      </c>
      <c r="J19" s="53">
        <v>0</v>
      </c>
      <c r="K19" s="53">
        <v>0</v>
      </c>
      <c r="L19" s="53">
        <v>0</v>
      </c>
      <c r="M19" s="53">
        <v>0</v>
      </c>
    </row>
    <row r="20" spans="1:13" hidden="1" x14ac:dyDescent="0.25">
      <c r="A20" s="53" t="s">
        <v>87</v>
      </c>
      <c r="B20" s="53" t="s">
        <v>88</v>
      </c>
      <c r="C20" s="53">
        <v>0</v>
      </c>
      <c r="D20" s="53">
        <v>0</v>
      </c>
      <c r="E20" s="53">
        <v>0</v>
      </c>
      <c r="F20" s="53">
        <v>0</v>
      </c>
      <c r="G20" s="53">
        <v>0</v>
      </c>
      <c r="H20" s="53"/>
      <c r="I20" s="53">
        <v>0</v>
      </c>
      <c r="J20" s="53">
        <v>0</v>
      </c>
      <c r="K20" s="53">
        <v>0</v>
      </c>
      <c r="L20" s="53">
        <v>0</v>
      </c>
      <c r="M20" s="53">
        <v>0</v>
      </c>
    </row>
    <row r="21" spans="1:13" x14ac:dyDescent="0.25">
      <c r="A21" s="54" t="s">
        <v>89</v>
      </c>
      <c r="B21" s="54" t="s">
        <v>90</v>
      </c>
      <c r="C21" s="54">
        <v>0</v>
      </c>
      <c r="D21" s="54">
        <v>0</v>
      </c>
      <c r="E21" s="54">
        <v>0</v>
      </c>
      <c r="F21" s="54">
        <v>0</v>
      </c>
      <c r="G21" s="54">
        <v>4.6566128730773926E-10</v>
      </c>
      <c r="H21" s="54"/>
      <c r="I21" s="54">
        <v>0</v>
      </c>
      <c r="J21" s="54">
        <v>0</v>
      </c>
      <c r="K21" s="54">
        <v>0</v>
      </c>
      <c r="L21" s="54">
        <v>0</v>
      </c>
      <c r="M21" s="54">
        <v>0</v>
      </c>
    </row>
    <row r="22" spans="1:13" x14ac:dyDescent="0.25">
      <c r="A22" s="54" t="s">
        <v>91</v>
      </c>
      <c r="B22" s="54" t="s">
        <v>92</v>
      </c>
      <c r="C22" s="54">
        <v>-363721.73499999999</v>
      </c>
      <c r="D22" s="54">
        <v>-285412.34999999998</v>
      </c>
      <c r="E22" s="54">
        <v>-233815.448</v>
      </c>
      <c r="F22" s="54">
        <v>-205147.81200000001</v>
      </c>
      <c r="G22" s="54">
        <v>-251991.81999999989</v>
      </c>
      <c r="H22" s="54"/>
      <c r="I22" s="54">
        <v>-85.620099999999979</v>
      </c>
      <c r="J22" s="54">
        <v>-67.500009999999989</v>
      </c>
      <c r="K22" s="54">
        <v>-52.585079999999991</v>
      </c>
      <c r="L22" s="54">
        <v>-46.978839999999991</v>
      </c>
      <c r="M22" s="54">
        <v>-57.101359999999957</v>
      </c>
    </row>
    <row r="23" spans="1:13" x14ac:dyDescent="0.25">
      <c r="A23" s="54" t="s">
        <v>93</v>
      </c>
      <c r="B23" s="54" t="s">
        <v>94</v>
      </c>
      <c r="C23" s="54">
        <v>-363721.73499999999</v>
      </c>
      <c r="D23" s="54">
        <v>-285412.34999999998</v>
      </c>
      <c r="E23" s="54">
        <v>-233815.448</v>
      </c>
      <c r="F23" s="54">
        <v>-205147.81200000001</v>
      </c>
      <c r="G23" s="54">
        <v>-251991.81999999989</v>
      </c>
      <c r="H23" s="54"/>
      <c r="I23" s="54">
        <v>-85.620099999999979</v>
      </c>
      <c r="J23" s="54">
        <v>-67.500009999999989</v>
      </c>
      <c r="K23" s="54">
        <v>-52.585079999999991</v>
      </c>
      <c r="L23" s="54">
        <v>-46.978839999999991</v>
      </c>
      <c r="M23" s="54">
        <v>-57.101359999999957</v>
      </c>
    </row>
    <row r="24" spans="1:13" x14ac:dyDescent="0.25">
      <c r="A24" s="54" t="s">
        <v>46</v>
      </c>
      <c r="B24" s="54" t="s">
        <v>46</v>
      </c>
      <c r="C24" s="86">
        <v>-363721.73499999999</v>
      </c>
      <c r="D24" s="54">
        <v>-285412.34999999998</v>
      </c>
      <c r="E24" s="54">
        <v>-233815.448</v>
      </c>
      <c r="F24" s="54">
        <v>-205147.81200000001</v>
      </c>
      <c r="G24" s="54">
        <v>-251991.8200000003</v>
      </c>
      <c r="H24" s="54"/>
      <c r="I24" s="85">
        <v>-85.620099999999979</v>
      </c>
      <c r="J24" s="54">
        <v>-67.500009999999989</v>
      </c>
      <c r="K24" s="54">
        <v>-52.585079999999991</v>
      </c>
      <c r="L24" s="54">
        <v>-46.978839999999991</v>
      </c>
      <c r="M24" s="54">
        <v>-57.101359999999772</v>
      </c>
    </row>
    <row r="25" spans="1:13" ht="12" customHeight="1" x14ac:dyDescent="0.25">
      <c r="A25" s="53"/>
      <c r="B25" s="53"/>
      <c r="C25" s="58"/>
      <c r="D25" s="58"/>
      <c r="E25" s="58"/>
      <c r="F25" s="58"/>
      <c r="G25" s="58"/>
      <c r="H25" s="58"/>
      <c r="I25" s="58"/>
      <c r="J25" s="58"/>
      <c r="K25" s="58"/>
      <c r="L25" s="58"/>
      <c r="M25" s="58"/>
    </row>
    <row r="26" spans="1:13" x14ac:dyDescent="0.25">
      <c r="A26" s="53"/>
      <c r="B26" s="53"/>
      <c r="C26" s="58"/>
      <c r="D26" s="58"/>
      <c r="E26" s="58"/>
      <c r="F26" s="58"/>
      <c r="G26" s="58"/>
      <c r="H26" s="58"/>
      <c r="I26" s="58"/>
      <c r="J26" s="58"/>
      <c r="K26" s="58"/>
      <c r="L26" s="58"/>
      <c r="M26" s="5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06d80cc428971849cb5cfe5df495203c">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d45f7a2125e0aff5fe1efeaa82a0ec60"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Props1.xml><?xml version="1.0" encoding="utf-8"?>
<ds:datastoreItem xmlns:ds="http://schemas.openxmlformats.org/officeDocument/2006/customXml" ds:itemID="{35F9321C-294F-4371-B961-39064560AB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813a71-ed45-4723-a8fb-02e2d19c60c4"/>
    <ds:schemaRef ds:uri="f54c56e8-d46b-4105-983d-5823d8fd43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B04F0E-205B-4C5C-9626-04DFD1909959}">
  <ds:schemaRefs>
    <ds:schemaRef ds:uri="http://schemas.microsoft.com/sharepoint/v3/contenttype/forms"/>
  </ds:schemaRefs>
</ds:datastoreItem>
</file>

<file path=customXml/itemProps3.xml><?xml version="1.0" encoding="utf-8"?>
<ds:datastoreItem xmlns:ds="http://schemas.openxmlformats.org/officeDocument/2006/customXml" ds:itemID="{622E4D62-3004-460A-B58C-A7887D84B698}">
  <ds:schemaRefs>
    <ds:schemaRef ds:uri="http://schemas.microsoft.com/office/2006/metadata/properties"/>
    <ds:schemaRef ds:uri="http://schemas.microsoft.com/office/infopath/2007/PartnerControls"/>
    <ds:schemaRef ds:uri="f54c56e8-d46b-4105-983d-5823d8fd43e9"/>
    <ds:schemaRef ds:uri="d5813a71-ed45-4723-a8fb-02e2d19c6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MODELO DEUDA ABRIL 26</vt:lpstr>
      <vt:lpstr>FOCUS</vt:lpstr>
      <vt:lpstr>PROV</vt:lpstr>
      <vt:lpstr>'MODELO DEUDA ABRIL 26'!Área_de_impresión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Nancy Valencia Varela</cp:lastModifiedBy>
  <cp:revision/>
  <dcterms:created xsi:type="dcterms:W3CDTF">2022-02-08T13:51:56Z</dcterms:created>
  <dcterms:modified xsi:type="dcterms:W3CDTF">2026-05-12T22:07:11Z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