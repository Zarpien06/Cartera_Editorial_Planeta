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02 FEBRERO 2026/"/>
    </mc:Choice>
  </mc:AlternateContent>
  <xr:revisionPtr revIDLastSave="0" documentId="14_{60F4B81A-A218-4AC9-AF57-F665751E556B}" xr6:coauthVersionLast="47" xr6:coauthVersionMax="47" xr10:uidLastSave="{00000000-0000-0000-0000-000000000000}"/>
  <bookViews>
    <workbookView xWindow="-120" yWindow="-120" windowWidth="20730" windowHeight="11040" xr2:uid="{B303AFCC-524D-4A39-A3E8-376B7B137387}"/>
  </bookViews>
  <sheets>
    <sheet name="MODELO DEUDA FEBRERO 26" sheetId="3" r:id="rId1"/>
    <sheet name="FOCUS" sheetId="1" r:id="rId2"/>
    <sheet name="PROV"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 i="3" l="1"/>
  <c r="H17" i="3" s="1"/>
  <c r="AE15" i="1" l="1"/>
  <c r="AD15" i="1"/>
  <c r="AC15" i="1"/>
  <c r="AB15" i="1"/>
  <c r="AA15" i="1"/>
  <c r="Z15" i="1"/>
  <c r="Y15" i="1"/>
  <c r="X15" i="1"/>
  <c r="W15" i="1"/>
  <c r="V15" i="1"/>
  <c r="U15" i="1"/>
  <c r="T15" i="1"/>
  <c r="S15" i="1"/>
  <c r="R15" i="1"/>
  <c r="P15" i="1"/>
  <c r="O15" i="1"/>
  <c r="N15" i="1"/>
  <c r="M15" i="1"/>
  <c r="L15" i="1"/>
  <c r="K15" i="1"/>
  <c r="J15" i="1"/>
  <c r="I15" i="1"/>
  <c r="H15" i="1"/>
  <c r="G15" i="1"/>
  <c r="F15" i="1"/>
  <c r="E15" i="1"/>
  <c r="D15" i="1"/>
  <c r="C15" i="1"/>
  <c r="F49" i="3"/>
  <c r="F50" i="3" s="1"/>
  <c r="L50" i="3" s="1"/>
  <c r="D49" i="3"/>
  <c r="D50" i="3" s="1"/>
  <c r="J50" i="3" s="1"/>
  <c r="H48" i="3"/>
  <c r="H49" i="3" s="1"/>
  <c r="L47" i="3"/>
  <c r="J47" i="3"/>
  <c r="H47" i="3"/>
  <c r="L46" i="3"/>
  <c r="J46" i="3"/>
  <c r="H46" i="3"/>
  <c r="L45" i="3"/>
  <c r="J45" i="3"/>
  <c r="H45" i="3"/>
  <c r="L44" i="3"/>
  <c r="J44" i="3"/>
  <c r="F42" i="3"/>
  <c r="F43" i="3" s="1"/>
  <c r="D42" i="3"/>
  <c r="D43" i="3" s="1"/>
  <c r="H41" i="3"/>
  <c r="H42" i="3" s="1"/>
  <c r="L40" i="3"/>
  <c r="J40" i="3"/>
  <c r="L39" i="3"/>
  <c r="J39" i="3"/>
  <c r="L38" i="3"/>
  <c r="J38" i="3"/>
  <c r="L37" i="3"/>
  <c r="J37" i="3"/>
  <c r="H37" i="3"/>
  <c r="L36" i="3"/>
  <c r="J36" i="3"/>
  <c r="H36" i="3"/>
  <c r="L35" i="3"/>
  <c r="J35" i="3"/>
  <c r="N39" i="3" l="1"/>
  <c r="N44" i="3"/>
  <c r="H43" i="3"/>
  <c r="L48" i="3"/>
  <c r="N36" i="3"/>
  <c r="J48" i="3"/>
  <c r="J49" i="3" s="1"/>
  <c r="H50" i="3"/>
  <c r="H51" i="3" s="1"/>
  <c r="N37" i="3"/>
  <c r="N38" i="3"/>
  <c r="N45" i="3"/>
  <c r="N46" i="3"/>
  <c r="L49" i="3"/>
  <c r="N35" i="3"/>
  <c r="D51" i="3"/>
  <c r="J43" i="3"/>
  <c r="L43" i="3"/>
  <c r="F51" i="3"/>
  <c r="N47" i="3"/>
  <c r="N40" i="3"/>
  <c r="N48" i="3" l="1"/>
  <c r="N49" i="3"/>
  <c r="N50" i="3" s="1"/>
  <c r="J51" i="3"/>
  <c r="J41" i="3"/>
  <c r="L51" i="3"/>
  <c r="L41" i="3"/>
  <c r="L42" i="3" s="1"/>
  <c r="N41" i="3" l="1"/>
  <c r="N42" i="3" s="1"/>
  <c r="N43" i="3" s="1"/>
  <c r="N51" i="3" s="1"/>
  <c r="J42" i="3"/>
  <c r="J10" i="3" l="1"/>
  <c r="E52" i="3" l="1"/>
  <c r="G52" i="3"/>
  <c r="I52" i="3"/>
  <c r="H15" i="3"/>
  <c r="D22" i="3" l="1"/>
  <c r="H16" i="3" l="1"/>
  <c r="F28" i="3" l="1"/>
  <c r="F29" i="3" s="1"/>
  <c r="L29" i="3" s="1"/>
  <c r="D28" i="3"/>
  <c r="D29" i="3" s="1"/>
  <c r="D30" i="3" s="1"/>
  <c r="H27" i="3"/>
  <c r="H26" i="3"/>
  <c r="H28" i="3" s="1"/>
  <c r="H25" i="3"/>
  <c r="H24" i="3"/>
  <c r="L23" i="3"/>
  <c r="J23" i="3"/>
  <c r="J22" i="3"/>
  <c r="F21" i="3"/>
  <c r="D21" i="3"/>
  <c r="H20" i="3"/>
  <c r="H19" i="3"/>
  <c r="H18" i="3"/>
  <c r="J17" i="3"/>
  <c r="J14" i="3"/>
  <c r="L14" i="3"/>
  <c r="H21" i="3" l="1"/>
  <c r="H22" i="3" s="1"/>
  <c r="N23" i="3"/>
  <c r="F22" i="3"/>
  <c r="L17" i="3"/>
  <c r="N17" i="3" s="1"/>
  <c r="N14" i="3"/>
  <c r="D52" i="3"/>
  <c r="J29" i="3"/>
  <c r="H29" i="3"/>
  <c r="H30" i="3" l="1"/>
  <c r="H52" i="3" s="1"/>
  <c r="J30" i="3"/>
  <c r="L22" i="3"/>
  <c r="F30" i="3"/>
  <c r="F52" i="3" s="1"/>
  <c r="L30" i="3" l="1"/>
  <c r="H10" i="3" l="1"/>
  <c r="H7" i="3"/>
  <c r="L15" i="3" l="1"/>
  <c r="L25" i="3"/>
  <c r="L18" i="3"/>
  <c r="J15" i="3"/>
  <c r="J25" i="3"/>
  <c r="N25" i="3" s="1"/>
  <c r="J18" i="3"/>
  <c r="N18" i="3" s="1"/>
  <c r="L16" i="3"/>
  <c r="L19" i="3"/>
  <c r="J16" i="3"/>
  <c r="L24" i="3"/>
  <c r="J24" i="3"/>
  <c r="L26" i="3"/>
  <c r="J26" i="3"/>
  <c r="J19" i="3"/>
  <c r="N26" i="3" l="1"/>
  <c r="J20" i="3"/>
  <c r="N15" i="3"/>
  <c r="N24" i="3"/>
  <c r="J27" i="3"/>
  <c r="L27" i="3"/>
  <c r="L28" i="3" s="1"/>
  <c r="N19" i="3"/>
  <c r="N16" i="3"/>
  <c r="L20" i="3"/>
  <c r="L21" i="3" s="1"/>
  <c r="N20" i="3" l="1"/>
  <c r="N21" i="3" s="1"/>
  <c r="N22" i="3" s="1"/>
  <c r="N27" i="3"/>
  <c r="N28" i="3" s="1"/>
  <c r="N29" i="3" s="1"/>
  <c r="J28" i="3"/>
  <c r="J21" i="3"/>
  <c r="N3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s>
  <commentList>
    <comment ref="H7" authorId="0" shapeId="0" xr:uid="{F43CCB8C-7C70-4D10-9872-9215D7A976C1}">
      <text>
        <r>
          <rPr>
            <b/>
            <sz val="9"/>
            <color indexed="81"/>
            <rFont val="Tahoma"/>
            <family val="2"/>
          </rPr>
          <t>pcriales:</t>
        </r>
        <r>
          <rPr>
            <sz val="9"/>
            <color indexed="81"/>
            <rFont val="Tahoma"/>
            <family val="2"/>
          </rPr>
          <t xml:space="preserve">
EURO</t>
        </r>
      </text>
    </comment>
    <comment ref="H8" authorId="0" shapeId="0" xr:uid="{80FD3B22-9CFB-46BB-94C1-614D580EE64D}">
      <text>
        <r>
          <rPr>
            <b/>
            <sz val="9"/>
            <color indexed="81"/>
            <rFont val="Tahoma"/>
            <family val="2"/>
          </rPr>
          <t>pcriales:</t>
        </r>
        <r>
          <rPr>
            <sz val="9"/>
            <color indexed="81"/>
            <rFont val="Tahoma"/>
            <family val="2"/>
          </rPr>
          <t xml:space="preserve">
EURO</t>
        </r>
      </text>
    </comment>
  </commentList>
</comments>
</file>

<file path=xl/sharedStrings.xml><?xml version="1.0" encoding="utf-8"?>
<sst xmlns="http://schemas.openxmlformats.org/spreadsheetml/2006/main" count="459" uniqueCount="114">
  <si>
    <t xml:space="preserve">                                                                                                                    </t>
  </si>
  <si>
    <t>RESUMEN DEUDA NO GRUPO (datos en Miles)</t>
  </si>
  <si>
    <t>LIBRERÍAS COLOMBIA</t>
  </si>
  <si>
    <t>Julio</t>
  </si>
  <si>
    <t>TIPO DE CAMBIO</t>
  </si>
  <si>
    <t>CIERRE</t>
  </si>
  <si>
    <t>Junio</t>
  </si>
  <si>
    <t>Diciembre A-1</t>
  </si>
  <si>
    <t>PROMEDIO</t>
  </si>
  <si>
    <t>MES</t>
  </si>
  <si>
    <t>Datos en Moneda Local</t>
  </si>
  <si>
    <t>Datos en  €</t>
  </si>
  <si>
    <t>Vencida</t>
  </si>
  <si>
    <t>No Vencida</t>
  </si>
  <si>
    <t>Total Deuda</t>
  </si>
  <si>
    <t>Deuda bruta NO Grupo (Inicial)</t>
  </si>
  <si>
    <t>- Cobros del mes</t>
  </si>
  <si>
    <t>+ Facturación del mes</t>
  </si>
  <si>
    <t>+/- Vencidos en el mes</t>
  </si>
  <si>
    <t>+/- Regularizaciones</t>
  </si>
  <si>
    <t>-/+ Actualización cambiaria</t>
  </si>
  <si>
    <t>+/- Ef. Conversión (solo cuadro €)</t>
  </si>
  <si>
    <t xml:space="preserve"> +/- Movimiento Tipo de Cambio</t>
  </si>
  <si>
    <t>Deuda bruta NO Grupo (Final)</t>
  </si>
  <si>
    <t>- Dotaciones Acumuladas (Inicial)</t>
  </si>
  <si>
    <t>- Dotaciones del mes</t>
  </si>
  <si>
    <t>+ Desdotaciones</t>
  </si>
  <si>
    <t>+/- Provisión acumulada (Final)</t>
  </si>
  <si>
    <t>Saldo neto</t>
  </si>
  <si>
    <t>ACUMULADO</t>
  </si>
  <si>
    <t>Deuda bruta NO Grupo (inicial)</t>
  </si>
  <si>
    <t>- Cobros</t>
  </si>
  <si>
    <t>+ Facturación</t>
  </si>
  <si>
    <t>+/- Vencidos</t>
  </si>
  <si>
    <t>- Dotaciones</t>
  </si>
  <si>
    <t>Enero</t>
  </si>
  <si>
    <t>Febrero</t>
  </si>
  <si>
    <t>Marzo</t>
  </si>
  <si>
    <t>Abril</t>
  </si>
  <si>
    <t xml:space="preserve">Mayo </t>
  </si>
  <si>
    <t>Agosto</t>
  </si>
  <si>
    <t>Septiembre</t>
  </si>
  <si>
    <t>Octubre</t>
  </si>
  <si>
    <t>Noviembre</t>
  </si>
  <si>
    <t>Diciembre</t>
  </si>
  <si>
    <t>Área</t>
  </si>
  <si>
    <t>InterCo</t>
  </si>
  <si>
    <t>MONEDA LOCAL</t>
  </si>
  <si>
    <t>Euros</t>
  </si>
  <si>
    <t>Marzo_ac</t>
  </si>
  <si>
    <t>Febrero_ac</t>
  </si>
  <si>
    <t>Enero_ac</t>
  </si>
  <si>
    <t>Real</t>
  </si>
  <si>
    <t>FRAS.PDTE.EMITIR</t>
  </si>
  <si>
    <t>CLIENTES NACIONALES</t>
  </si>
  <si>
    <t>CLIENTES NACIONALES ESPECIALES</t>
  </si>
  <si>
    <t>CONSIGNACION CLIENTES NO IDENT</t>
  </si>
  <si>
    <t>CLIENTES EXTRANJERO EUROS</t>
  </si>
  <si>
    <t>CHEQUES DEVUELTOS NACIONALES</t>
  </si>
  <si>
    <t>CHEQUES POSTFECHADOS  NACIONAL</t>
  </si>
  <si>
    <t>BCA10_1</t>
  </si>
  <si>
    <t>CLIENTES POR VENTAS Y PREST.SERVICIOS</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</si>
  <si>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</si>
  <si>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</si>
  <si>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</si>
  <si>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</si>
  <si>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</si>
  <si>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</si>
  <si>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</si>
  <si>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</si>
  <si>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</si>
  <si>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</si>
  <si>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</si>
  <si>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</si>
  <si>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</si>
  <si>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</si>
  <si>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</si>
  <si>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</si>
  <si>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</si>
  <si>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</si>
  <si>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</si>
  <si>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</si>
  <si>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</si>
  <si>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</si>
  <si>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</si>
  <si>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</si>
  <si>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</si>
  <si>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</si>
  <si>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</si>
  <si>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</si>
  <si>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</si>
  <si>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</si>
  <si>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</si>
  <si>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</si>
  <si>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</si>
  <si>
    <t>Diciembre_ac</t>
  </si>
  <si>
    <t>2025</t>
  </si>
  <si>
    <t>43091</t>
  </si>
  <si>
    <t>43001</t>
  </si>
  <si>
    <t>43002</t>
  </si>
  <si>
    <t>43008</t>
  </si>
  <si>
    <t>43042</t>
  </si>
  <si>
    <t>43092</t>
  </si>
  <si>
    <t>43101</t>
  </si>
  <si>
    <t>Abril_ac</t>
  </si>
  <si>
    <t>Mayo_ac</t>
  </si>
  <si>
    <t>Junio_ac</t>
  </si>
  <si>
    <t>Julio_ac</t>
  </si>
  <si>
    <t>Agosto_ac</t>
  </si>
  <si>
    <t>Septiembre_ac</t>
  </si>
  <si>
    <t>Octubre_ac</t>
  </si>
  <si>
    <t>Noviembre_ac</t>
  </si>
  <si>
    <t>2026</t>
  </si>
  <si>
    <t>Enero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</si>
</sst>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 #,##0_-;_-* &quot;-&quot;_-;_-@_-"/>
    <numFmt numFmtId="43" formatCode="_-* #,##0.00_-;\-* #,##0.00_-;_-* &quot;-&quot;??_-;_-@_-"/>
    <numFmt numFmtId="164" formatCode="_-* #,##0.00\ _€_-;\-* #,##0.00\ _€_-;_-* &quot;-&quot;??\ _€_-;_-@_-"/>
    <numFmt numFmtId="165" formatCode="_-* #,##0\ _€_-;\-* #,##0\ _€_-;_-* &quot;-&quot;\ _€_-;_-@_-"/>
    <numFmt numFmtId="166" formatCode="_-* #,##0_-;\-* #,##0_-;_-* &quot;-&quot;??_-;_-@_-"/>
    <numFmt numFmtId="167" formatCode="#,##0.0"/>
    <numFmt numFmtId="168" formatCode="_ * #,##0.00_ ;_ * \-#,##0.00_ ;_ * &quot;-&quot;??_ ;_ @_ "/>
    <numFmt numFmtId="169" formatCode="_ * #,##0_ ;_ * \-#,##0_ ;_ * &quot;-&quot;_ ;_ @_ "/>
    <numFmt numFmtId="170" formatCode="_-* #,##0.0000_-;\-* #,##0.0000_-;_-* &quot;-&quot;??_-;_-@_-"/>
  </numFmts>
  <fonts count="32" x14ac:knownFonts="1">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b/>
      <sz val="9"/>
      <color indexed="81"/>
      <name val="Tahoma"/>
      <family val="2"/>
    </font>
    <font>
      <sz val="9"/>
      <color indexed="81"/>
      <name val="Tahoma"/>
      <family val="2"/>
    </font>
    <font>
      <b/>
      <sz val="10"/>
      <color rgb="FF1F497D"/>
      <name val="Arial"/>
      <family val="2"/>
    </font>
    <font>
      <b/>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45">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rgb="FFFCF1AE"/>
        <bgColor indexed="64"/>
      </patternFill>
    </fill>
    <fill>
      <patternFill patternType="solid">
        <fgColor rgb="FFFFFF00"/>
        <bgColor indexed="64"/>
      </patternFill>
    </fill>
    <fill>
      <patternFill patternType="solid">
        <fgColor theme="8" tint="0.79998168889431442"/>
        <bgColor indexed="64"/>
      </patternFill>
    </fill>
    <fill>
      <patternFill patternType="solid">
        <fgColor theme="2" tint="-0.249977111117893"/>
        <bgColor indexed="64"/>
      </patternFill>
    </fill>
  </fills>
  <borders count="18">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6">
    <xf numFmtId="0" fontId="0"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 fontId="3" fillId="0" borderId="0"/>
    <xf numFmtId="0" fontId="2" fillId="0" borderId="1" applyNumberFormat="0" applyFill="0" applyAlignment="0" applyProtection="0"/>
    <xf numFmtId="0" fontId="16" fillId="0" borderId="0" applyNumberFormat="0" applyFill="0" applyBorder="0" applyAlignment="0" applyProtection="0"/>
    <xf numFmtId="0" fontId="2" fillId="0" borderId="1" applyNumberFormat="0" applyFill="0" applyAlignment="0" applyProtection="0"/>
    <xf numFmtId="0" fontId="17" fillId="0" borderId="10" applyNumberFormat="0" applyFill="0" applyAlignment="0" applyProtection="0"/>
    <xf numFmtId="0" fontId="18" fillId="0" borderId="11" applyNumberFormat="0" applyFill="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10" borderId="0" applyNumberFormat="0" applyBorder="0" applyAlignment="0" applyProtection="0"/>
    <xf numFmtId="0" fontId="21" fillId="11" borderId="0" applyNumberFormat="0" applyBorder="0" applyAlignment="0" applyProtection="0"/>
    <xf numFmtId="0" fontId="22" fillId="12" borderId="12" applyNumberFormat="0" applyAlignment="0" applyProtection="0"/>
    <xf numFmtId="0" fontId="23" fillId="13" borderId="13" applyNumberFormat="0" applyAlignment="0" applyProtection="0"/>
    <xf numFmtId="0" fontId="24" fillId="13" borderId="12" applyNumberFormat="0" applyAlignment="0" applyProtection="0"/>
    <xf numFmtId="0" fontId="25" fillId="0" borderId="14" applyNumberFormat="0" applyFill="0" applyAlignment="0" applyProtection="0"/>
    <xf numFmtId="0" fontId="26" fillId="14" borderId="15" applyNumberFormat="0" applyAlignment="0" applyProtection="0"/>
    <xf numFmtId="0" fontId="27" fillId="0" borderId="0" applyNumberFormat="0" applyFill="0" applyBorder="0" applyAlignment="0" applyProtection="0"/>
    <xf numFmtId="0" fontId="1" fillId="15" borderId="16" applyNumberFormat="0" applyFont="0" applyAlignment="0" applyProtection="0"/>
    <xf numFmtId="0" fontId="28" fillId="0" borderId="0" applyNumberFormat="0" applyFill="0" applyBorder="0" applyAlignment="0" applyProtection="0"/>
    <xf numFmtId="0" fontId="15" fillId="0" borderId="17" applyNumberFormat="0" applyFill="0" applyAlignment="0" applyProtection="0"/>
    <xf numFmtId="0" fontId="29"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9"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9"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9"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 fillId="0" borderId="0"/>
    <xf numFmtId="168" fontId="3" fillId="0" borderId="0" applyFont="0" applyFill="0" applyBorder="0" applyAlignment="0" applyProtection="0"/>
    <xf numFmtId="16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111">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43" fontId="7" fillId="6" borderId="6" xfId="1" applyFont="1" applyFill="1" applyBorder="1" applyAlignment="1" applyProtection="1">
      <alignment horizontal="right" vertical="center"/>
      <protection locked="0"/>
    </xf>
    <xf numFmtId="43"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43" fontId="7" fillId="0" borderId="7" xfId="3" quotePrefix="1" applyFont="1" applyFill="1" applyBorder="1" applyAlignment="1" applyProtection="1">
      <alignment horizontal="right" vertical="center"/>
      <protection locked="0"/>
    </xf>
    <xf numFmtId="43" fontId="7" fillId="0" borderId="7" xfId="3" quotePrefix="1" applyFont="1" applyBorder="1" applyAlignment="1" applyProtection="1">
      <alignment horizontal="right" vertical="center"/>
      <protection locked="0"/>
    </xf>
    <xf numFmtId="43"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43"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166" fontId="3" fillId="0" borderId="0" xfId="1" applyNumberFormat="1" applyFont="1" applyFill="1" applyAlignment="1" applyProtection="1">
      <alignment horizontal="right" vertical="center"/>
      <protection locked="0"/>
    </xf>
    <xf numFmtId="166" fontId="3" fillId="0" borderId="7" xfId="1" quotePrefix="1" applyNumberFormat="1" applyFont="1" applyFill="1" applyBorder="1" applyAlignment="1" applyProtection="1">
      <alignment horizontal="right" vertical="center"/>
      <protection locked="0"/>
    </xf>
    <xf numFmtId="43" fontId="0" fillId="0" borderId="0" xfId="1" applyFont="1"/>
    <xf numFmtId="4" fontId="3" fillId="0" borderId="0" xfId="0" applyNumberFormat="1" applyFont="1" applyProtection="1">
      <protection locked="0"/>
    </xf>
    <xf numFmtId="0" fontId="14"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43" fontId="10" fillId="7" borderId="7" xfId="3" applyFont="1" applyFill="1" applyBorder="1" applyAlignment="1" applyProtection="1">
      <alignment horizontal="right" vertical="center"/>
      <protection locked="0"/>
    </xf>
    <xf numFmtId="43" fontId="7" fillId="0" borderId="7" xfId="3" applyFont="1" applyFill="1" applyBorder="1" applyAlignment="1" applyProtection="1">
      <alignment horizontal="right" vertical="center"/>
      <protection locked="0"/>
    </xf>
    <xf numFmtId="43" fontId="3" fillId="0" borderId="0" xfId="1" applyFont="1" applyProtection="1">
      <protection locked="0"/>
    </xf>
    <xf numFmtId="43" fontId="3" fillId="0" borderId="0" xfId="0" applyNumberFormat="1" applyFont="1" applyProtection="1">
      <protection locked="0"/>
    </xf>
    <xf numFmtId="43" fontId="7" fillId="7" borderId="7" xfId="1" applyFont="1" applyFill="1" applyBorder="1" applyAlignment="1" applyProtection="1">
      <alignment horizontal="right" vertical="center"/>
      <protection locked="0"/>
    </xf>
    <xf numFmtId="43"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4"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67" fontId="7" fillId="0" borderId="7" xfId="6" quotePrefix="1" applyNumberFormat="1" applyFont="1" applyBorder="1" applyAlignment="1" applyProtection="1">
      <alignment horizontal="right" vertical="center"/>
      <protection locked="0"/>
    </xf>
    <xf numFmtId="0" fontId="0" fillId="0" borderId="2" xfId="0" applyBorder="1" applyProtection="1">
      <protection locked="0"/>
    </xf>
    <xf numFmtId="43" fontId="0" fillId="0" borderId="2" xfId="1" applyFont="1" applyFill="1" applyBorder="1" applyProtection="1">
      <protection locked="0"/>
    </xf>
    <xf numFmtId="0" fontId="30" fillId="0" borderId="0" xfId="0" applyFont="1"/>
    <xf numFmtId="43" fontId="0" fillId="0" borderId="2" xfId="1" applyFont="1" applyBorder="1" applyProtection="1">
      <protection locked="0"/>
    </xf>
    <xf numFmtId="43" fontId="15" fillId="0" borderId="2" xfId="1" applyFont="1" applyFill="1" applyBorder="1" applyProtection="1">
      <protection locked="0"/>
    </xf>
    <xf numFmtId="166" fontId="31" fillId="0" borderId="0" xfId="1" applyNumberFormat="1" applyFont="1"/>
    <xf numFmtId="166" fontId="30" fillId="0" borderId="0" xfId="1" applyNumberFormat="1" applyFont="1"/>
    <xf numFmtId="166" fontId="3" fillId="0" borderId="0" xfId="1" applyNumberFormat="1" applyFont="1" applyProtection="1">
      <protection locked="0"/>
    </xf>
    <xf numFmtId="43" fontId="3" fillId="0" borderId="7" xfId="1" quotePrefix="1" applyFont="1" applyFill="1" applyBorder="1" applyAlignment="1" applyProtection="1">
      <alignment horizontal="center" vertical="center"/>
      <protection locked="0"/>
    </xf>
    <xf numFmtId="170" fontId="3" fillId="0" borderId="7" xfId="1" quotePrefix="1" applyNumberFormat="1" applyFont="1" applyFill="1" applyBorder="1" applyAlignment="1" applyProtection="1">
      <alignment horizontal="center" vertical="center"/>
      <protection locked="0"/>
    </xf>
    <xf numFmtId="43" fontId="7" fillId="4" borderId="9" xfId="1" applyFont="1" applyFill="1" applyBorder="1" applyAlignment="1" applyProtection="1">
      <alignment horizontal="right" vertical="center"/>
      <protection locked="0"/>
    </xf>
    <xf numFmtId="43" fontId="7" fillId="4" borderId="7" xfId="1" applyFont="1" applyFill="1" applyBorder="1" applyAlignment="1" applyProtection="1">
      <alignment horizontal="right" vertical="center"/>
      <protection locked="0"/>
    </xf>
    <xf numFmtId="43" fontId="30" fillId="0" borderId="0" xfId="1" applyFont="1"/>
    <xf numFmtId="43" fontId="7" fillId="0" borderId="0" xfId="1" applyFont="1" applyAlignment="1" applyProtection="1">
      <alignment horizontal="right" vertical="center"/>
      <protection locked="0"/>
    </xf>
    <xf numFmtId="43" fontId="7" fillId="0" borderId="7" xfId="1" quotePrefix="1" applyFont="1" applyFill="1" applyBorder="1" applyAlignment="1" applyProtection="1">
      <alignment horizontal="center" vertical="center"/>
      <protection locked="0"/>
    </xf>
    <xf numFmtId="43" fontId="7" fillId="0" borderId="7" xfId="1" quotePrefix="1" applyFont="1" applyBorder="1" applyAlignment="1" applyProtection="1">
      <alignment horizontal="right" vertical="center"/>
      <protection locked="0"/>
    </xf>
    <xf numFmtId="43" fontId="7" fillId="0" borderId="7" xfId="1" quotePrefix="1" applyFont="1" applyBorder="1" applyAlignment="1" applyProtection="1">
      <alignment horizontal="center" vertical="center"/>
      <protection locked="0"/>
    </xf>
    <xf numFmtId="43" fontId="10" fillId="7" borderId="7" xfId="1" applyFont="1" applyFill="1" applyBorder="1" applyAlignment="1" applyProtection="1">
      <alignment horizontal="right" vertical="center"/>
      <protection locked="0"/>
    </xf>
    <xf numFmtId="166" fontId="0" fillId="0" borderId="2" xfId="1" applyNumberFormat="1" applyFont="1" applyFill="1" applyBorder="1" applyProtection="1">
      <protection locked="0"/>
    </xf>
    <xf numFmtId="164" fontId="1" fillId="0" borderId="2" xfId="115" applyFont="1" applyFill="1" applyBorder="1" applyProtection="1">
      <protection locked="0"/>
    </xf>
    <xf numFmtId="0" fontId="15" fillId="0" borderId="0" xfId="0" applyFont="1"/>
    <xf numFmtId="43" fontId="0" fillId="42" borderId="0" xfId="1" applyFont="1" applyFill="1"/>
    <xf numFmtId="43" fontId="15" fillId="41" borderId="2" xfId="1" applyFont="1" applyFill="1" applyBorder="1" applyProtection="1">
      <protection locked="0"/>
    </xf>
    <xf numFmtId="0" fontId="7" fillId="0" borderId="0" xfId="0" applyFont="1" applyProtection="1">
      <protection locked="0"/>
    </xf>
    <xf numFmtId="0" fontId="0" fillId="0" borderId="2" xfId="0" quotePrefix="1" applyBorder="1" applyProtection="1">
      <protection locked="0"/>
    </xf>
    <xf numFmtId="0" fontId="15" fillId="0" borderId="2" xfId="0" applyFont="1" applyBorder="1" applyProtection="1">
      <protection locked="0"/>
    </xf>
    <xf numFmtId="0" fontId="15" fillId="0" borderId="2" xfId="0" quotePrefix="1" applyFont="1" applyBorder="1" applyProtection="1">
      <protection locked="0"/>
    </xf>
    <xf numFmtId="43" fontId="15" fillId="43" borderId="2" xfId="1" applyFont="1" applyFill="1" applyBorder="1" applyProtection="1">
      <protection locked="0"/>
    </xf>
    <xf numFmtId="43" fontId="15" fillId="8" borderId="2" xfId="1" applyFont="1" applyFill="1" applyBorder="1" applyProtection="1">
      <protection locked="0"/>
    </xf>
    <xf numFmtId="43" fontId="0" fillId="8" borderId="2" xfId="1" applyFont="1" applyFill="1" applyBorder="1" applyProtection="1">
      <protection locked="0"/>
    </xf>
    <xf numFmtId="43" fontId="7" fillId="40" borderId="9" xfId="1" applyFont="1" applyFill="1" applyBorder="1" applyAlignment="1" applyProtection="1">
      <alignment horizontal="right" vertical="center"/>
      <protection locked="0"/>
    </xf>
    <xf numFmtId="0" fontId="3" fillId="40" borderId="0" xfId="0" applyFont="1" applyFill="1" applyAlignment="1" applyProtection="1">
      <alignment horizontal="center" vertical="center"/>
      <protection locked="0"/>
    </xf>
    <xf numFmtId="43" fontId="7" fillId="44" borderId="6" xfId="1" applyFont="1" applyFill="1" applyBorder="1" applyAlignment="1" applyProtection="1">
      <alignment horizontal="right" vertical="center"/>
      <protection locked="0"/>
    </xf>
    <xf numFmtId="43" fontId="3" fillId="44" borderId="0" xfId="1" applyFont="1" applyFill="1" applyAlignment="1" applyProtection="1">
      <alignment horizontal="right" vertical="center"/>
      <protection locked="0"/>
    </xf>
    <xf numFmtId="170" fontId="3" fillId="44" borderId="0" xfId="1" applyNumberFormat="1" applyFont="1" applyFill="1" applyAlignment="1" applyProtection="1">
      <alignment horizontal="right" vertical="center"/>
      <protection locked="0"/>
    </xf>
    <xf numFmtId="43" fontId="3" fillId="0" borderId="7" xfId="1" quotePrefix="1" applyFont="1" applyFill="1" applyBorder="1" applyAlignment="1" applyProtection="1">
      <alignment horizontal="right" vertical="center"/>
      <protection locked="0"/>
    </xf>
    <xf numFmtId="43" fontId="3" fillId="0" borderId="0" xfId="1" applyFont="1" applyFill="1" applyAlignment="1" applyProtection="1">
      <alignment horizontal="right" vertical="center"/>
      <protection locked="0"/>
    </xf>
    <xf numFmtId="3" fontId="3" fillId="0" borderId="7" xfId="6" quotePrefix="1" applyNumberFormat="1" applyBorder="1" applyAlignment="1" applyProtection="1">
      <alignment horizontal="center" vertical="center"/>
      <protection locked="0"/>
    </xf>
    <xf numFmtId="0" fontId="31" fillId="0" borderId="0" xfId="0" applyFont="1"/>
    <xf numFmtId="166" fontId="31" fillId="0" borderId="0" xfId="1" applyNumberFormat="1" applyFont="1" applyFill="1"/>
    <xf numFmtId="166" fontId="30" fillId="0" borderId="0" xfId="1" applyNumberFormat="1" applyFont="1" applyFill="1"/>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cellXfs>
  <cellStyles count="116">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9" builtinId="16" customBuiltin="1"/>
    <cellStyle name="Encabezado 4" xfId="12"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6" builtinId="20" customBuiltin="1"/>
    <cellStyle name="Incorrecto" xfId="14" builtinId="27" customBuiltin="1"/>
    <cellStyle name="Millares" xfId="1" builtinId="3"/>
    <cellStyle name="Millares [0] 2" xfId="2" xr:uid="{8CCB4468-2910-44DE-99A2-86530D6D4DAF}"/>
    <cellStyle name="Millares [0] 2 2" xfId="68" xr:uid="{BC125E41-C8BE-45D7-BCE1-42A16F1D71BF}"/>
    <cellStyle name="Millares [0] 3" xfId="64" xr:uid="{63264F82-3190-4726-B04A-825EC702727F}"/>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3" xfId="65" xr:uid="{699AACCF-6946-4508-B29D-EFD09F664AA6}"/>
    <cellStyle name="Millares 2 4" xfId="50" xr:uid="{C1D93BE9-1FEA-4AF9-8F63-7B86CF4379BA}"/>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Millares_FOCUS" xfId="115" xr:uid="{981E821D-0022-4D6C-BCDF-D4FA7B1AF8DD}"/>
    <cellStyle name="Neutral" xfId="15" builtinId="28" customBuiltin="1"/>
    <cellStyle name="Normal" xfId="0" builtinId="0"/>
    <cellStyle name="Normal 2" xfId="6" xr:uid="{2DD6E384-70EC-4A22-8A93-CF688F2689CE}"/>
    <cellStyle name="Normal 2 2" xfId="66" xr:uid="{2C7EF46E-6287-4C68-AAEE-2F9A8E405284}"/>
    <cellStyle name="Notas" xfId="22" builtinId="10" customBuiltin="1"/>
    <cellStyle name="Salida" xfId="17" builtinId="21" customBuiltin="1"/>
    <cellStyle name="Texto de advertencia" xfId="21" builtinId="11" customBuiltin="1"/>
    <cellStyle name="Texto explicativo" xfId="23" builtinId="53" customBuiltin="1"/>
    <cellStyle name="Título" xfId="8" builtinId="15" customBuiltin="1"/>
    <cellStyle name="Título 1" xfId="7" xr:uid="{7007496C-A1DE-47C1-A7EF-F02654C487FA}"/>
    <cellStyle name="Título 2" xfId="10" builtinId="17" customBuiltin="1"/>
    <cellStyle name="Título 3" xfId="11" builtinId="18" customBuiltin="1"/>
    <cellStyle name="Total" xfId="24" builtinId="25" customBuiltin="1"/>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sheetPr>
    <pageSetUpPr fitToPage="1"/>
  </sheetPr>
  <dimension ref="A1:N63384"/>
  <sheetViews>
    <sheetView tabSelected="1" zoomScale="91" zoomScaleNormal="91" workbookViewId="0">
      <selection activeCell="O7" sqref="O7"/>
    </sheetView>
  </sheetViews>
  <sheetFormatPr baseColWidth="10" defaultColWidth="11.42578125" defaultRowHeight="12.75" x14ac:dyDescent="0.2"/>
  <cols>
    <col min="1" max="1" width="1.7109375" style="1" customWidth="1"/>
    <col min="2" max="2" width="35.85546875" style="1" customWidth="1"/>
    <col min="3" max="3" width="1.140625" style="1" customWidth="1"/>
    <col min="4" max="4" width="18.28515625" style="1" customWidth="1"/>
    <col min="5" max="5" width="0.7109375" style="1" customWidth="1"/>
    <col min="6" max="6" width="15.28515625" style="1" customWidth="1"/>
    <col min="7" max="7" width="1.14062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15" width="11.42578125" style="1"/>
    <col min="116" max="116" width="1.7109375" style="1" customWidth="1"/>
    <col min="117" max="117" width="45.42578125" style="1" customWidth="1"/>
    <col min="118" max="118" width="1.140625" style="1" customWidth="1"/>
    <col min="119" max="119" width="16.5703125" style="1" customWidth="1"/>
    <col min="120" max="120" width="0.7109375" style="1" customWidth="1"/>
    <col min="121" max="121" width="16.5703125" style="1" customWidth="1"/>
    <col min="122" max="122" width="0.7109375" style="1" customWidth="1"/>
    <col min="123" max="123" width="18" style="1" customWidth="1"/>
    <col min="124" max="124" width="1.140625" style="1" customWidth="1"/>
    <col min="125" max="125" width="15.28515625" style="1" customWidth="1"/>
    <col min="126" max="126" width="0.7109375" style="1" customWidth="1"/>
    <col min="127" max="127" width="15.28515625" style="1" customWidth="1"/>
    <col min="128" max="128" width="0.7109375" style="1" customWidth="1"/>
    <col min="129" max="129" width="15.28515625" style="1" customWidth="1"/>
    <col min="130" max="130" width="14.42578125" style="1" bestFit="1" customWidth="1"/>
    <col min="131" max="133" width="16" style="1" customWidth="1"/>
    <col min="134" max="134" width="14.42578125" style="1" bestFit="1" customWidth="1"/>
    <col min="135" max="371" width="11.42578125" style="1"/>
    <col min="372" max="372" width="1.7109375" style="1" customWidth="1"/>
    <col min="373" max="373" width="45.42578125" style="1" customWidth="1"/>
    <col min="374" max="374" width="1.140625" style="1" customWidth="1"/>
    <col min="375" max="375" width="16.5703125" style="1" customWidth="1"/>
    <col min="376" max="376" width="0.7109375" style="1" customWidth="1"/>
    <col min="377" max="377" width="16.5703125" style="1" customWidth="1"/>
    <col min="378" max="378" width="0.7109375" style="1" customWidth="1"/>
    <col min="379" max="379" width="18" style="1" customWidth="1"/>
    <col min="380" max="380" width="1.140625" style="1" customWidth="1"/>
    <col min="381" max="381" width="15.28515625" style="1" customWidth="1"/>
    <col min="382" max="382" width="0.7109375" style="1" customWidth="1"/>
    <col min="383" max="383" width="15.28515625" style="1" customWidth="1"/>
    <col min="384" max="384" width="0.7109375" style="1" customWidth="1"/>
    <col min="385" max="385" width="15.28515625" style="1" customWidth="1"/>
    <col min="386" max="386" width="14.42578125" style="1" bestFit="1" customWidth="1"/>
    <col min="387" max="389" width="16" style="1" customWidth="1"/>
    <col min="390" max="390" width="14.42578125" style="1" bestFit="1" customWidth="1"/>
    <col min="391" max="627" width="11.42578125" style="1"/>
    <col min="628" max="628" width="1.7109375" style="1" customWidth="1"/>
    <col min="629" max="629" width="45.42578125" style="1" customWidth="1"/>
    <col min="630" max="630" width="1.140625" style="1" customWidth="1"/>
    <col min="631" max="631" width="16.5703125" style="1" customWidth="1"/>
    <col min="632" max="632" width="0.7109375" style="1" customWidth="1"/>
    <col min="633" max="633" width="16.5703125" style="1" customWidth="1"/>
    <col min="634" max="634" width="0.7109375" style="1" customWidth="1"/>
    <col min="635" max="635" width="18" style="1" customWidth="1"/>
    <col min="636" max="636" width="1.140625" style="1" customWidth="1"/>
    <col min="637" max="637" width="15.28515625" style="1" customWidth="1"/>
    <col min="638" max="638" width="0.7109375" style="1" customWidth="1"/>
    <col min="639" max="639" width="15.28515625" style="1" customWidth="1"/>
    <col min="640" max="640" width="0.7109375" style="1" customWidth="1"/>
    <col min="641" max="641" width="15.28515625" style="1" customWidth="1"/>
    <col min="642" max="642" width="14.42578125" style="1" bestFit="1" customWidth="1"/>
    <col min="643" max="645" width="16" style="1" customWidth="1"/>
    <col min="646" max="646" width="14.42578125" style="1" bestFit="1" customWidth="1"/>
    <col min="647" max="883" width="11.42578125" style="1"/>
    <col min="884" max="884" width="1.7109375" style="1" customWidth="1"/>
    <col min="885" max="885" width="45.42578125" style="1" customWidth="1"/>
    <col min="886" max="886" width="1.140625" style="1" customWidth="1"/>
    <col min="887" max="887" width="16.5703125" style="1" customWidth="1"/>
    <col min="888" max="888" width="0.7109375" style="1" customWidth="1"/>
    <col min="889" max="889" width="16.5703125" style="1" customWidth="1"/>
    <col min="890" max="890" width="0.7109375" style="1" customWidth="1"/>
    <col min="891" max="891" width="18" style="1" customWidth="1"/>
    <col min="892" max="892" width="1.140625" style="1" customWidth="1"/>
    <col min="893" max="893" width="15.28515625" style="1" customWidth="1"/>
    <col min="894" max="894" width="0.7109375" style="1" customWidth="1"/>
    <col min="895" max="895" width="15.28515625" style="1" customWidth="1"/>
    <col min="896" max="896" width="0.7109375" style="1" customWidth="1"/>
    <col min="897" max="897" width="15.28515625" style="1" customWidth="1"/>
    <col min="898" max="898" width="14.42578125" style="1" bestFit="1" customWidth="1"/>
    <col min="899" max="901" width="16" style="1" customWidth="1"/>
    <col min="902" max="902" width="14.42578125" style="1" bestFit="1" customWidth="1"/>
    <col min="903" max="1139" width="11.42578125" style="1"/>
    <col min="1140" max="1140" width="1.7109375" style="1" customWidth="1"/>
    <col min="1141" max="1141" width="45.42578125" style="1" customWidth="1"/>
    <col min="1142" max="1142" width="1.140625" style="1" customWidth="1"/>
    <col min="1143" max="1143" width="16.5703125" style="1" customWidth="1"/>
    <col min="1144" max="1144" width="0.7109375" style="1" customWidth="1"/>
    <col min="1145" max="1145" width="16.5703125" style="1" customWidth="1"/>
    <col min="1146" max="1146" width="0.7109375" style="1" customWidth="1"/>
    <col min="1147" max="1147" width="18" style="1" customWidth="1"/>
    <col min="1148" max="1148" width="1.140625" style="1" customWidth="1"/>
    <col min="1149" max="1149" width="15.28515625" style="1" customWidth="1"/>
    <col min="1150" max="1150" width="0.7109375" style="1" customWidth="1"/>
    <col min="1151" max="1151" width="15.28515625" style="1" customWidth="1"/>
    <col min="1152" max="1152" width="0.7109375" style="1" customWidth="1"/>
    <col min="1153" max="1153" width="15.28515625" style="1" customWidth="1"/>
    <col min="1154" max="1154" width="14.42578125" style="1" bestFit="1" customWidth="1"/>
    <col min="1155" max="1157" width="16" style="1" customWidth="1"/>
    <col min="1158" max="1158" width="14.42578125" style="1" bestFit="1" customWidth="1"/>
    <col min="1159" max="1395" width="11.42578125" style="1"/>
    <col min="1396" max="1396" width="1.7109375" style="1" customWidth="1"/>
    <col min="1397" max="1397" width="45.42578125" style="1" customWidth="1"/>
    <col min="1398" max="1398" width="1.140625" style="1" customWidth="1"/>
    <col min="1399" max="1399" width="16.5703125" style="1" customWidth="1"/>
    <col min="1400" max="1400" width="0.7109375" style="1" customWidth="1"/>
    <col min="1401" max="1401" width="16.5703125" style="1" customWidth="1"/>
    <col min="1402" max="1402" width="0.7109375" style="1" customWidth="1"/>
    <col min="1403" max="1403" width="18" style="1" customWidth="1"/>
    <col min="1404" max="1404" width="1.140625" style="1" customWidth="1"/>
    <col min="1405" max="1405" width="15.28515625" style="1" customWidth="1"/>
    <col min="1406" max="1406" width="0.7109375" style="1" customWidth="1"/>
    <col min="1407" max="1407" width="15.28515625" style="1" customWidth="1"/>
    <col min="1408" max="1408" width="0.7109375" style="1" customWidth="1"/>
    <col min="1409" max="1409" width="15.28515625" style="1" customWidth="1"/>
    <col min="1410" max="1410" width="14.42578125" style="1" bestFit="1" customWidth="1"/>
    <col min="1411" max="1413" width="16" style="1" customWidth="1"/>
    <col min="1414" max="1414" width="14.42578125" style="1" bestFit="1" customWidth="1"/>
    <col min="1415" max="1651" width="11.42578125" style="1"/>
    <col min="1652" max="1652" width="1.7109375" style="1" customWidth="1"/>
    <col min="1653" max="1653" width="45.42578125" style="1" customWidth="1"/>
    <col min="1654" max="1654" width="1.140625" style="1" customWidth="1"/>
    <col min="1655" max="1655" width="16.5703125" style="1" customWidth="1"/>
    <col min="1656" max="1656" width="0.7109375" style="1" customWidth="1"/>
    <col min="1657" max="1657" width="16.5703125" style="1" customWidth="1"/>
    <col min="1658" max="1658" width="0.7109375" style="1" customWidth="1"/>
    <col min="1659" max="1659" width="18" style="1" customWidth="1"/>
    <col min="1660" max="1660" width="1.140625" style="1" customWidth="1"/>
    <col min="1661" max="1661" width="15.28515625" style="1" customWidth="1"/>
    <col min="1662" max="1662" width="0.7109375" style="1" customWidth="1"/>
    <col min="1663" max="1663" width="15.28515625" style="1" customWidth="1"/>
    <col min="1664" max="1664" width="0.7109375" style="1" customWidth="1"/>
    <col min="1665" max="1665" width="15.28515625" style="1" customWidth="1"/>
    <col min="1666" max="1666" width="14.42578125" style="1" bestFit="1" customWidth="1"/>
    <col min="1667" max="1669" width="16" style="1" customWidth="1"/>
    <col min="1670" max="1670" width="14.42578125" style="1" bestFit="1" customWidth="1"/>
    <col min="1671" max="1907" width="11.42578125" style="1"/>
    <col min="1908" max="1908" width="1.7109375" style="1" customWidth="1"/>
    <col min="1909" max="1909" width="45.42578125" style="1" customWidth="1"/>
    <col min="1910" max="1910" width="1.140625" style="1" customWidth="1"/>
    <col min="1911" max="1911" width="16.5703125" style="1" customWidth="1"/>
    <col min="1912" max="1912" width="0.7109375" style="1" customWidth="1"/>
    <col min="1913" max="1913" width="16.5703125" style="1" customWidth="1"/>
    <col min="1914" max="1914" width="0.7109375" style="1" customWidth="1"/>
    <col min="1915" max="1915" width="18" style="1" customWidth="1"/>
    <col min="1916" max="1916" width="1.140625" style="1" customWidth="1"/>
    <col min="1917" max="1917" width="15.28515625" style="1" customWidth="1"/>
    <col min="1918" max="1918" width="0.7109375" style="1" customWidth="1"/>
    <col min="1919" max="1919" width="15.28515625" style="1" customWidth="1"/>
    <col min="1920" max="1920" width="0.7109375" style="1" customWidth="1"/>
    <col min="1921" max="1921" width="15.28515625" style="1" customWidth="1"/>
    <col min="1922" max="1922" width="14.42578125" style="1" bestFit="1" customWidth="1"/>
    <col min="1923" max="1925" width="16" style="1" customWidth="1"/>
    <col min="1926" max="1926" width="14.42578125" style="1" bestFit="1" customWidth="1"/>
    <col min="1927" max="2163" width="11.42578125" style="1"/>
    <col min="2164" max="2164" width="1.7109375" style="1" customWidth="1"/>
    <col min="2165" max="2165" width="45.42578125" style="1" customWidth="1"/>
    <col min="2166" max="2166" width="1.140625" style="1" customWidth="1"/>
    <col min="2167" max="2167" width="16.5703125" style="1" customWidth="1"/>
    <col min="2168" max="2168" width="0.7109375" style="1" customWidth="1"/>
    <col min="2169" max="2169" width="16.5703125" style="1" customWidth="1"/>
    <col min="2170" max="2170" width="0.7109375" style="1" customWidth="1"/>
    <col min="2171" max="2171" width="18" style="1" customWidth="1"/>
    <col min="2172" max="2172" width="1.140625" style="1" customWidth="1"/>
    <col min="2173" max="2173" width="15.28515625" style="1" customWidth="1"/>
    <col min="2174" max="2174" width="0.7109375" style="1" customWidth="1"/>
    <col min="2175" max="2175" width="15.28515625" style="1" customWidth="1"/>
    <col min="2176" max="2176" width="0.7109375" style="1" customWidth="1"/>
    <col min="2177" max="2177" width="15.28515625" style="1" customWidth="1"/>
    <col min="2178" max="2178" width="14.42578125" style="1" bestFit="1" customWidth="1"/>
    <col min="2179" max="2181" width="16" style="1" customWidth="1"/>
    <col min="2182" max="2182" width="14.42578125" style="1" bestFit="1" customWidth="1"/>
    <col min="2183" max="2419" width="11.42578125" style="1"/>
    <col min="2420" max="2420" width="1.7109375" style="1" customWidth="1"/>
    <col min="2421" max="2421" width="45.42578125" style="1" customWidth="1"/>
    <col min="2422" max="2422" width="1.140625" style="1" customWidth="1"/>
    <col min="2423" max="2423" width="16.5703125" style="1" customWidth="1"/>
    <col min="2424" max="2424" width="0.7109375" style="1" customWidth="1"/>
    <col min="2425" max="2425" width="16.5703125" style="1" customWidth="1"/>
    <col min="2426" max="2426" width="0.7109375" style="1" customWidth="1"/>
    <col min="2427" max="2427" width="18" style="1" customWidth="1"/>
    <col min="2428" max="2428" width="1.140625" style="1" customWidth="1"/>
    <col min="2429" max="2429" width="15.28515625" style="1" customWidth="1"/>
    <col min="2430" max="2430" width="0.7109375" style="1" customWidth="1"/>
    <col min="2431" max="2431" width="15.28515625" style="1" customWidth="1"/>
    <col min="2432" max="2432" width="0.7109375" style="1" customWidth="1"/>
    <col min="2433" max="2433" width="15.28515625" style="1" customWidth="1"/>
    <col min="2434" max="2434" width="14.42578125" style="1" bestFit="1" customWidth="1"/>
    <col min="2435" max="2437" width="16" style="1" customWidth="1"/>
    <col min="2438" max="2438" width="14.42578125" style="1" bestFit="1" customWidth="1"/>
    <col min="2439" max="2675" width="11.42578125" style="1"/>
    <col min="2676" max="2676" width="1.7109375" style="1" customWidth="1"/>
    <col min="2677" max="2677" width="45.42578125" style="1" customWidth="1"/>
    <col min="2678" max="2678" width="1.140625" style="1" customWidth="1"/>
    <col min="2679" max="2679" width="16.5703125" style="1" customWidth="1"/>
    <col min="2680" max="2680" width="0.7109375" style="1" customWidth="1"/>
    <col min="2681" max="2681" width="16.5703125" style="1" customWidth="1"/>
    <col min="2682" max="2682" width="0.7109375" style="1" customWidth="1"/>
    <col min="2683" max="2683" width="18" style="1" customWidth="1"/>
    <col min="2684" max="2684" width="1.140625" style="1" customWidth="1"/>
    <col min="2685" max="2685" width="15.28515625" style="1" customWidth="1"/>
    <col min="2686" max="2686" width="0.7109375" style="1" customWidth="1"/>
    <col min="2687" max="2687" width="15.28515625" style="1" customWidth="1"/>
    <col min="2688" max="2688" width="0.7109375" style="1" customWidth="1"/>
    <col min="2689" max="2689" width="15.28515625" style="1" customWidth="1"/>
    <col min="2690" max="2690" width="14.42578125" style="1" bestFit="1" customWidth="1"/>
    <col min="2691" max="2693" width="16" style="1" customWidth="1"/>
    <col min="2694" max="2694" width="14.42578125" style="1" bestFit="1" customWidth="1"/>
    <col min="2695" max="2931" width="11.42578125" style="1"/>
    <col min="2932" max="2932" width="1.7109375" style="1" customWidth="1"/>
    <col min="2933" max="2933" width="45.42578125" style="1" customWidth="1"/>
    <col min="2934" max="2934" width="1.140625" style="1" customWidth="1"/>
    <col min="2935" max="2935" width="16.5703125" style="1" customWidth="1"/>
    <col min="2936" max="2936" width="0.7109375" style="1" customWidth="1"/>
    <col min="2937" max="2937" width="16.5703125" style="1" customWidth="1"/>
    <col min="2938" max="2938" width="0.7109375" style="1" customWidth="1"/>
    <col min="2939" max="2939" width="18" style="1" customWidth="1"/>
    <col min="2940" max="2940" width="1.140625" style="1" customWidth="1"/>
    <col min="2941" max="2941" width="15.28515625" style="1" customWidth="1"/>
    <col min="2942" max="2942" width="0.7109375" style="1" customWidth="1"/>
    <col min="2943" max="2943" width="15.28515625" style="1" customWidth="1"/>
    <col min="2944" max="2944" width="0.7109375" style="1" customWidth="1"/>
    <col min="2945" max="2945" width="15.28515625" style="1" customWidth="1"/>
    <col min="2946" max="2946" width="14.42578125" style="1" bestFit="1" customWidth="1"/>
    <col min="2947" max="2949" width="16" style="1" customWidth="1"/>
    <col min="2950" max="2950" width="14.42578125" style="1" bestFit="1" customWidth="1"/>
    <col min="2951" max="3187" width="11.42578125" style="1"/>
    <col min="3188" max="3188" width="1.7109375" style="1" customWidth="1"/>
    <col min="3189" max="3189" width="45.42578125" style="1" customWidth="1"/>
    <col min="3190" max="3190" width="1.140625" style="1" customWidth="1"/>
    <col min="3191" max="3191" width="16.5703125" style="1" customWidth="1"/>
    <col min="3192" max="3192" width="0.7109375" style="1" customWidth="1"/>
    <col min="3193" max="3193" width="16.5703125" style="1" customWidth="1"/>
    <col min="3194" max="3194" width="0.7109375" style="1" customWidth="1"/>
    <col min="3195" max="3195" width="18" style="1" customWidth="1"/>
    <col min="3196" max="3196" width="1.140625" style="1" customWidth="1"/>
    <col min="3197" max="3197" width="15.28515625" style="1" customWidth="1"/>
    <col min="3198" max="3198" width="0.7109375" style="1" customWidth="1"/>
    <col min="3199" max="3199" width="15.28515625" style="1" customWidth="1"/>
    <col min="3200" max="3200" width="0.7109375" style="1" customWidth="1"/>
    <col min="3201" max="3201" width="15.28515625" style="1" customWidth="1"/>
    <col min="3202" max="3202" width="14.42578125" style="1" bestFit="1" customWidth="1"/>
    <col min="3203" max="3205" width="16" style="1" customWidth="1"/>
    <col min="3206" max="3206" width="14.42578125" style="1" bestFit="1" customWidth="1"/>
    <col min="3207" max="3443" width="11.42578125" style="1"/>
    <col min="3444" max="3444" width="1.7109375" style="1" customWidth="1"/>
    <col min="3445" max="3445" width="45.42578125" style="1" customWidth="1"/>
    <col min="3446" max="3446" width="1.140625" style="1" customWidth="1"/>
    <col min="3447" max="3447" width="16.5703125" style="1" customWidth="1"/>
    <col min="3448" max="3448" width="0.7109375" style="1" customWidth="1"/>
    <col min="3449" max="3449" width="16.5703125" style="1" customWidth="1"/>
    <col min="3450" max="3450" width="0.7109375" style="1" customWidth="1"/>
    <col min="3451" max="3451" width="18" style="1" customWidth="1"/>
    <col min="3452" max="3452" width="1.140625" style="1" customWidth="1"/>
    <col min="3453" max="3453" width="15.28515625" style="1" customWidth="1"/>
    <col min="3454" max="3454" width="0.7109375" style="1" customWidth="1"/>
    <col min="3455" max="3455" width="15.28515625" style="1" customWidth="1"/>
    <col min="3456" max="3456" width="0.7109375" style="1" customWidth="1"/>
    <col min="3457" max="3457" width="15.28515625" style="1" customWidth="1"/>
    <col min="3458" max="3458" width="14.42578125" style="1" bestFit="1" customWidth="1"/>
    <col min="3459" max="3461" width="16" style="1" customWidth="1"/>
    <col min="3462" max="3462" width="14.42578125" style="1" bestFit="1" customWidth="1"/>
    <col min="3463" max="3699" width="11.42578125" style="1"/>
    <col min="3700" max="3700" width="1.7109375" style="1" customWidth="1"/>
    <col min="3701" max="3701" width="45.42578125" style="1" customWidth="1"/>
    <col min="3702" max="3702" width="1.140625" style="1" customWidth="1"/>
    <col min="3703" max="3703" width="16.5703125" style="1" customWidth="1"/>
    <col min="3704" max="3704" width="0.7109375" style="1" customWidth="1"/>
    <col min="3705" max="3705" width="16.5703125" style="1" customWidth="1"/>
    <col min="3706" max="3706" width="0.7109375" style="1" customWidth="1"/>
    <col min="3707" max="3707" width="18" style="1" customWidth="1"/>
    <col min="3708" max="3708" width="1.140625" style="1" customWidth="1"/>
    <col min="3709" max="3709" width="15.28515625" style="1" customWidth="1"/>
    <col min="3710" max="3710" width="0.7109375" style="1" customWidth="1"/>
    <col min="3711" max="3711" width="15.28515625" style="1" customWidth="1"/>
    <col min="3712" max="3712" width="0.7109375" style="1" customWidth="1"/>
    <col min="3713" max="3713" width="15.28515625" style="1" customWidth="1"/>
    <col min="3714" max="3714" width="14.42578125" style="1" bestFit="1" customWidth="1"/>
    <col min="3715" max="3717" width="16" style="1" customWidth="1"/>
    <col min="3718" max="3718" width="14.42578125" style="1" bestFit="1" customWidth="1"/>
    <col min="3719" max="3955" width="11.42578125" style="1"/>
    <col min="3956" max="3956" width="1.7109375" style="1" customWidth="1"/>
    <col min="3957" max="3957" width="45.42578125" style="1" customWidth="1"/>
    <col min="3958" max="3958" width="1.140625" style="1" customWidth="1"/>
    <col min="3959" max="3959" width="16.5703125" style="1" customWidth="1"/>
    <col min="3960" max="3960" width="0.7109375" style="1" customWidth="1"/>
    <col min="3961" max="3961" width="16.5703125" style="1" customWidth="1"/>
    <col min="3962" max="3962" width="0.7109375" style="1" customWidth="1"/>
    <col min="3963" max="3963" width="18" style="1" customWidth="1"/>
    <col min="3964" max="3964" width="1.140625" style="1" customWidth="1"/>
    <col min="3965" max="3965" width="15.28515625" style="1" customWidth="1"/>
    <col min="3966" max="3966" width="0.7109375" style="1" customWidth="1"/>
    <col min="3967" max="3967" width="15.28515625" style="1" customWidth="1"/>
    <col min="3968" max="3968" width="0.7109375" style="1" customWidth="1"/>
    <col min="3969" max="3969" width="15.28515625" style="1" customWidth="1"/>
    <col min="3970" max="3970" width="14.42578125" style="1" bestFit="1" customWidth="1"/>
    <col min="3971" max="3973" width="16" style="1" customWidth="1"/>
    <col min="3974" max="3974" width="14.42578125" style="1" bestFit="1" customWidth="1"/>
    <col min="3975" max="4211" width="11.42578125" style="1"/>
    <col min="4212" max="4212" width="1.7109375" style="1" customWidth="1"/>
    <col min="4213" max="4213" width="45.42578125" style="1" customWidth="1"/>
    <col min="4214" max="4214" width="1.140625" style="1" customWidth="1"/>
    <col min="4215" max="4215" width="16.5703125" style="1" customWidth="1"/>
    <col min="4216" max="4216" width="0.7109375" style="1" customWidth="1"/>
    <col min="4217" max="4217" width="16.5703125" style="1" customWidth="1"/>
    <col min="4218" max="4218" width="0.7109375" style="1" customWidth="1"/>
    <col min="4219" max="4219" width="18" style="1" customWidth="1"/>
    <col min="4220" max="4220" width="1.140625" style="1" customWidth="1"/>
    <col min="4221" max="4221" width="15.28515625" style="1" customWidth="1"/>
    <col min="4222" max="4222" width="0.7109375" style="1" customWidth="1"/>
    <col min="4223" max="4223" width="15.28515625" style="1" customWidth="1"/>
    <col min="4224" max="4224" width="0.7109375" style="1" customWidth="1"/>
    <col min="4225" max="4225" width="15.28515625" style="1" customWidth="1"/>
    <col min="4226" max="4226" width="14.42578125" style="1" bestFit="1" customWidth="1"/>
    <col min="4227" max="4229" width="16" style="1" customWidth="1"/>
    <col min="4230" max="4230" width="14.42578125" style="1" bestFit="1" customWidth="1"/>
    <col min="4231" max="4467" width="11.42578125" style="1"/>
    <col min="4468" max="4468" width="1.7109375" style="1" customWidth="1"/>
    <col min="4469" max="4469" width="45.42578125" style="1" customWidth="1"/>
    <col min="4470" max="4470" width="1.140625" style="1" customWidth="1"/>
    <col min="4471" max="4471" width="16.5703125" style="1" customWidth="1"/>
    <col min="4472" max="4472" width="0.7109375" style="1" customWidth="1"/>
    <col min="4473" max="4473" width="16.5703125" style="1" customWidth="1"/>
    <col min="4474" max="4474" width="0.7109375" style="1" customWidth="1"/>
    <col min="4475" max="4475" width="18" style="1" customWidth="1"/>
    <col min="4476" max="4476" width="1.140625" style="1" customWidth="1"/>
    <col min="4477" max="4477" width="15.28515625" style="1" customWidth="1"/>
    <col min="4478" max="4478" width="0.7109375" style="1" customWidth="1"/>
    <col min="4479" max="4479" width="15.28515625" style="1" customWidth="1"/>
    <col min="4480" max="4480" width="0.7109375" style="1" customWidth="1"/>
    <col min="4481" max="4481" width="15.28515625" style="1" customWidth="1"/>
    <col min="4482" max="4482" width="14.42578125" style="1" bestFit="1" customWidth="1"/>
    <col min="4483" max="4485" width="16" style="1" customWidth="1"/>
    <col min="4486" max="4486" width="14.42578125" style="1" bestFit="1" customWidth="1"/>
    <col min="4487" max="4723" width="11.42578125" style="1"/>
    <col min="4724" max="4724" width="1.7109375" style="1" customWidth="1"/>
    <col min="4725" max="4725" width="45.42578125" style="1" customWidth="1"/>
    <col min="4726" max="4726" width="1.140625" style="1" customWidth="1"/>
    <col min="4727" max="4727" width="16.5703125" style="1" customWidth="1"/>
    <col min="4728" max="4728" width="0.7109375" style="1" customWidth="1"/>
    <col min="4729" max="4729" width="16.5703125" style="1" customWidth="1"/>
    <col min="4730" max="4730" width="0.7109375" style="1" customWidth="1"/>
    <col min="4731" max="4731" width="18" style="1" customWidth="1"/>
    <col min="4732" max="4732" width="1.140625" style="1" customWidth="1"/>
    <col min="4733" max="4733" width="15.28515625" style="1" customWidth="1"/>
    <col min="4734" max="4734" width="0.7109375" style="1" customWidth="1"/>
    <col min="4735" max="4735" width="15.28515625" style="1" customWidth="1"/>
    <col min="4736" max="4736" width="0.7109375" style="1" customWidth="1"/>
    <col min="4737" max="4737" width="15.28515625" style="1" customWidth="1"/>
    <col min="4738" max="4738" width="14.42578125" style="1" bestFit="1" customWidth="1"/>
    <col min="4739" max="4741" width="16" style="1" customWidth="1"/>
    <col min="4742" max="4742" width="14.42578125" style="1" bestFit="1" customWidth="1"/>
    <col min="4743" max="4979" width="11.42578125" style="1"/>
    <col min="4980" max="4980" width="1.7109375" style="1" customWidth="1"/>
    <col min="4981" max="4981" width="45.42578125" style="1" customWidth="1"/>
    <col min="4982" max="4982" width="1.140625" style="1" customWidth="1"/>
    <col min="4983" max="4983" width="16.5703125" style="1" customWidth="1"/>
    <col min="4984" max="4984" width="0.7109375" style="1" customWidth="1"/>
    <col min="4985" max="4985" width="16.5703125" style="1" customWidth="1"/>
    <col min="4986" max="4986" width="0.7109375" style="1" customWidth="1"/>
    <col min="4987" max="4987" width="18" style="1" customWidth="1"/>
    <col min="4988" max="4988" width="1.140625" style="1" customWidth="1"/>
    <col min="4989" max="4989" width="15.28515625" style="1" customWidth="1"/>
    <col min="4990" max="4990" width="0.7109375" style="1" customWidth="1"/>
    <col min="4991" max="4991" width="15.28515625" style="1" customWidth="1"/>
    <col min="4992" max="4992" width="0.7109375" style="1" customWidth="1"/>
    <col min="4993" max="4993" width="15.28515625" style="1" customWidth="1"/>
    <col min="4994" max="4994" width="14.42578125" style="1" bestFit="1" customWidth="1"/>
    <col min="4995" max="4997" width="16" style="1" customWidth="1"/>
    <col min="4998" max="4998" width="14.42578125" style="1" bestFit="1" customWidth="1"/>
    <col min="4999" max="5235" width="11.42578125" style="1"/>
    <col min="5236" max="5236" width="1.7109375" style="1" customWidth="1"/>
    <col min="5237" max="5237" width="45.42578125" style="1" customWidth="1"/>
    <col min="5238" max="5238" width="1.140625" style="1" customWidth="1"/>
    <col min="5239" max="5239" width="16.5703125" style="1" customWidth="1"/>
    <col min="5240" max="5240" width="0.7109375" style="1" customWidth="1"/>
    <col min="5241" max="5241" width="16.5703125" style="1" customWidth="1"/>
    <col min="5242" max="5242" width="0.7109375" style="1" customWidth="1"/>
    <col min="5243" max="5243" width="18" style="1" customWidth="1"/>
    <col min="5244" max="5244" width="1.140625" style="1" customWidth="1"/>
    <col min="5245" max="5245" width="15.28515625" style="1" customWidth="1"/>
    <col min="5246" max="5246" width="0.7109375" style="1" customWidth="1"/>
    <col min="5247" max="5247" width="15.28515625" style="1" customWidth="1"/>
    <col min="5248" max="5248" width="0.7109375" style="1" customWidth="1"/>
    <col min="5249" max="5249" width="15.28515625" style="1" customWidth="1"/>
    <col min="5250" max="5250" width="14.42578125" style="1" bestFit="1" customWidth="1"/>
    <col min="5251" max="5253" width="16" style="1" customWidth="1"/>
    <col min="5254" max="5254" width="14.42578125" style="1" bestFit="1" customWidth="1"/>
    <col min="5255" max="5491" width="11.42578125" style="1"/>
    <col min="5492" max="5492" width="1.7109375" style="1" customWidth="1"/>
    <col min="5493" max="5493" width="45.42578125" style="1" customWidth="1"/>
    <col min="5494" max="5494" width="1.140625" style="1" customWidth="1"/>
    <col min="5495" max="5495" width="16.5703125" style="1" customWidth="1"/>
    <col min="5496" max="5496" width="0.7109375" style="1" customWidth="1"/>
    <col min="5497" max="5497" width="16.5703125" style="1" customWidth="1"/>
    <col min="5498" max="5498" width="0.7109375" style="1" customWidth="1"/>
    <col min="5499" max="5499" width="18" style="1" customWidth="1"/>
    <col min="5500" max="5500" width="1.140625" style="1" customWidth="1"/>
    <col min="5501" max="5501" width="15.28515625" style="1" customWidth="1"/>
    <col min="5502" max="5502" width="0.7109375" style="1" customWidth="1"/>
    <col min="5503" max="5503" width="15.28515625" style="1" customWidth="1"/>
    <col min="5504" max="5504" width="0.7109375" style="1" customWidth="1"/>
    <col min="5505" max="5505" width="15.28515625" style="1" customWidth="1"/>
    <col min="5506" max="5506" width="14.42578125" style="1" bestFit="1" customWidth="1"/>
    <col min="5507" max="5509" width="16" style="1" customWidth="1"/>
    <col min="5510" max="5510" width="14.42578125" style="1" bestFit="1" customWidth="1"/>
    <col min="5511" max="5747" width="11.42578125" style="1"/>
    <col min="5748" max="5748" width="1.7109375" style="1" customWidth="1"/>
    <col min="5749" max="5749" width="45.42578125" style="1" customWidth="1"/>
    <col min="5750" max="5750" width="1.140625" style="1" customWidth="1"/>
    <col min="5751" max="5751" width="16.5703125" style="1" customWidth="1"/>
    <col min="5752" max="5752" width="0.7109375" style="1" customWidth="1"/>
    <col min="5753" max="5753" width="16.5703125" style="1" customWidth="1"/>
    <col min="5754" max="5754" width="0.7109375" style="1" customWidth="1"/>
    <col min="5755" max="5755" width="18" style="1" customWidth="1"/>
    <col min="5756" max="5756" width="1.140625" style="1" customWidth="1"/>
    <col min="5757" max="5757" width="15.28515625" style="1" customWidth="1"/>
    <col min="5758" max="5758" width="0.7109375" style="1" customWidth="1"/>
    <col min="5759" max="5759" width="15.28515625" style="1" customWidth="1"/>
    <col min="5760" max="5760" width="0.7109375" style="1" customWidth="1"/>
    <col min="5761" max="5761" width="15.28515625" style="1" customWidth="1"/>
    <col min="5762" max="5762" width="14.42578125" style="1" bestFit="1" customWidth="1"/>
    <col min="5763" max="5765" width="16" style="1" customWidth="1"/>
    <col min="5766" max="5766" width="14.42578125" style="1" bestFit="1" customWidth="1"/>
    <col min="5767" max="6003" width="11.42578125" style="1"/>
    <col min="6004" max="6004" width="1.7109375" style="1" customWidth="1"/>
    <col min="6005" max="6005" width="45.42578125" style="1" customWidth="1"/>
    <col min="6006" max="6006" width="1.140625" style="1" customWidth="1"/>
    <col min="6007" max="6007" width="16.5703125" style="1" customWidth="1"/>
    <col min="6008" max="6008" width="0.7109375" style="1" customWidth="1"/>
    <col min="6009" max="6009" width="16.5703125" style="1" customWidth="1"/>
    <col min="6010" max="6010" width="0.7109375" style="1" customWidth="1"/>
    <col min="6011" max="6011" width="18" style="1" customWidth="1"/>
    <col min="6012" max="6012" width="1.140625" style="1" customWidth="1"/>
    <col min="6013" max="6013" width="15.28515625" style="1" customWidth="1"/>
    <col min="6014" max="6014" width="0.7109375" style="1" customWidth="1"/>
    <col min="6015" max="6015" width="15.28515625" style="1" customWidth="1"/>
    <col min="6016" max="6016" width="0.7109375" style="1" customWidth="1"/>
    <col min="6017" max="6017" width="15.28515625" style="1" customWidth="1"/>
    <col min="6018" max="6018" width="14.42578125" style="1" bestFit="1" customWidth="1"/>
    <col min="6019" max="6021" width="16" style="1" customWidth="1"/>
    <col min="6022" max="6022" width="14.42578125" style="1" bestFit="1" customWidth="1"/>
    <col min="6023" max="6259" width="11.42578125" style="1"/>
    <col min="6260" max="6260" width="1.7109375" style="1" customWidth="1"/>
    <col min="6261" max="6261" width="45.42578125" style="1" customWidth="1"/>
    <col min="6262" max="6262" width="1.140625" style="1" customWidth="1"/>
    <col min="6263" max="6263" width="16.5703125" style="1" customWidth="1"/>
    <col min="6264" max="6264" width="0.7109375" style="1" customWidth="1"/>
    <col min="6265" max="6265" width="16.5703125" style="1" customWidth="1"/>
    <col min="6266" max="6266" width="0.7109375" style="1" customWidth="1"/>
    <col min="6267" max="6267" width="18" style="1" customWidth="1"/>
    <col min="6268" max="6268" width="1.140625" style="1" customWidth="1"/>
    <col min="6269" max="6269" width="15.28515625" style="1" customWidth="1"/>
    <col min="6270" max="6270" width="0.7109375" style="1" customWidth="1"/>
    <col min="6271" max="6271" width="15.28515625" style="1" customWidth="1"/>
    <col min="6272" max="6272" width="0.7109375" style="1" customWidth="1"/>
    <col min="6273" max="6273" width="15.28515625" style="1" customWidth="1"/>
    <col min="6274" max="6274" width="14.42578125" style="1" bestFit="1" customWidth="1"/>
    <col min="6275" max="6277" width="16" style="1" customWidth="1"/>
    <col min="6278" max="6278" width="14.42578125" style="1" bestFit="1" customWidth="1"/>
    <col min="6279" max="6515" width="11.42578125" style="1"/>
    <col min="6516" max="6516" width="1.7109375" style="1" customWidth="1"/>
    <col min="6517" max="6517" width="45.42578125" style="1" customWidth="1"/>
    <col min="6518" max="6518" width="1.140625" style="1" customWidth="1"/>
    <col min="6519" max="6519" width="16.5703125" style="1" customWidth="1"/>
    <col min="6520" max="6520" width="0.7109375" style="1" customWidth="1"/>
    <col min="6521" max="6521" width="16.5703125" style="1" customWidth="1"/>
    <col min="6522" max="6522" width="0.7109375" style="1" customWidth="1"/>
    <col min="6523" max="6523" width="18" style="1" customWidth="1"/>
    <col min="6524" max="6524" width="1.140625" style="1" customWidth="1"/>
    <col min="6525" max="6525" width="15.28515625" style="1" customWidth="1"/>
    <col min="6526" max="6526" width="0.7109375" style="1" customWidth="1"/>
    <col min="6527" max="6527" width="15.28515625" style="1" customWidth="1"/>
    <col min="6528" max="6528" width="0.7109375" style="1" customWidth="1"/>
    <col min="6529" max="6529" width="15.28515625" style="1" customWidth="1"/>
    <col min="6530" max="6530" width="14.42578125" style="1" bestFit="1" customWidth="1"/>
    <col min="6531" max="6533" width="16" style="1" customWidth="1"/>
    <col min="6534" max="6534" width="14.42578125" style="1" bestFit="1" customWidth="1"/>
    <col min="6535" max="6771" width="11.42578125" style="1"/>
    <col min="6772" max="6772" width="1.7109375" style="1" customWidth="1"/>
    <col min="6773" max="6773" width="45.42578125" style="1" customWidth="1"/>
    <col min="6774" max="6774" width="1.140625" style="1" customWidth="1"/>
    <col min="6775" max="6775" width="16.5703125" style="1" customWidth="1"/>
    <col min="6776" max="6776" width="0.7109375" style="1" customWidth="1"/>
    <col min="6777" max="6777" width="16.5703125" style="1" customWidth="1"/>
    <col min="6778" max="6778" width="0.7109375" style="1" customWidth="1"/>
    <col min="6779" max="6779" width="18" style="1" customWidth="1"/>
    <col min="6780" max="6780" width="1.140625" style="1" customWidth="1"/>
    <col min="6781" max="6781" width="15.28515625" style="1" customWidth="1"/>
    <col min="6782" max="6782" width="0.7109375" style="1" customWidth="1"/>
    <col min="6783" max="6783" width="15.28515625" style="1" customWidth="1"/>
    <col min="6784" max="6784" width="0.7109375" style="1" customWidth="1"/>
    <col min="6785" max="6785" width="15.28515625" style="1" customWidth="1"/>
    <col min="6786" max="6786" width="14.42578125" style="1" bestFit="1" customWidth="1"/>
    <col min="6787" max="6789" width="16" style="1" customWidth="1"/>
    <col min="6790" max="6790" width="14.42578125" style="1" bestFit="1" customWidth="1"/>
    <col min="6791" max="7027" width="11.42578125" style="1"/>
    <col min="7028" max="7028" width="1.7109375" style="1" customWidth="1"/>
    <col min="7029" max="7029" width="45.42578125" style="1" customWidth="1"/>
    <col min="7030" max="7030" width="1.140625" style="1" customWidth="1"/>
    <col min="7031" max="7031" width="16.5703125" style="1" customWidth="1"/>
    <col min="7032" max="7032" width="0.7109375" style="1" customWidth="1"/>
    <col min="7033" max="7033" width="16.5703125" style="1" customWidth="1"/>
    <col min="7034" max="7034" width="0.7109375" style="1" customWidth="1"/>
    <col min="7035" max="7035" width="18" style="1" customWidth="1"/>
    <col min="7036" max="7036" width="1.140625" style="1" customWidth="1"/>
    <col min="7037" max="7037" width="15.28515625" style="1" customWidth="1"/>
    <col min="7038" max="7038" width="0.7109375" style="1" customWidth="1"/>
    <col min="7039" max="7039" width="15.28515625" style="1" customWidth="1"/>
    <col min="7040" max="7040" width="0.7109375" style="1" customWidth="1"/>
    <col min="7041" max="7041" width="15.28515625" style="1" customWidth="1"/>
    <col min="7042" max="7042" width="14.42578125" style="1" bestFit="1" customWidth="1"/>
    <col min="7043" max="7045" width="16" style="1" customWidth="1"/>
    <col min="7046" max="7046" width="14.42578125" style="1" bestFit="1" customWidth="1"/>
    <col min="7047" max="7283" width="11.42578125" style="1"/>
    <col min="7284" max="7284" width="1.7109375" style="1" customWidth="1"/>
    <col min="7285" max="7285" width="45.42578125" style="1" customWidth="1"/>
    <col min="7286" max="7286" width="1.140625" style="1" customWidth="1"/>
    <col min="7287" max="7287" width="16.5703125" style="1" customWidth="1"/>
    <col min="7288" max="7288" width="0.7109375" style="1" customWidth="1"/>
    <col min="7289" max="7289" width="16.5703125" style="1" customWidth="1"/>
    <col min="7290" max="7290" width="0.7109375" style="1" customWidth="1"/>
    <col min="7291" max="7291" width="18" style="1" customWidth="1"/>
    <col min="7292" max="7292" width="1.140625" style="1" customWidth="1"/>
    <col min="7293" max="7293" width="15.28515625" style="1" customWidth="1"/>
    <col min="7294" max="7294" width="0.7109375" style="1" customWidth="1"/>
    <col min="7295" max="7295" width="15.28515625" style="1" customWidth="1"/>
    <col min="7296" max="7296" width="0.7109375" style="1" customWidth="1"/>
    <col min="7297" max="7297" width="15.28515625" style="1" customWidth="1"/>
    <col min="7298" max="7298" width="14.42578125" style="1" bestFit="1" customWidth="1"/>
    <col min="7299" max="7301" width="16" style="1" customWidth="1"/>
    <col min="7302" max="7302" width="14.42578125" style="1" bestFit="1" customWidth="1"/>
    <col min="7303" max="7539" width="11.42578125" style="1"/>
    <col min="7540" max="7540" width="1.7109375" style="1" customWidth="1"/>
    <col min="7541" max="7541" width="45.42578125" style="1" customWidth="1"/>
    <col min="7542" max="7542" width="1.140625" style="1" customWidth="1"/>
    <col min="7543" max="7543" width="16.5703125" style="1" customWidth="1"/>
    <col min="7544" max="7544" width="0.7109375" style="1" customWidth="1"/>
    <col min="7545" max="7545" width="16.5703125" style="1" customWidth="1"/>
    <col min="7546" max="7546" width="0.7109375" style="1" customWidth="1"/>
    <col min="7547" max="7547" width="18" style="1" customWidth="1"/>
    <col min="7548" max="7548" width="1.140625" style="1" customWidth="1"/>
    <col min="7549" max="7549" width="15.28515625" style="1" customWidth="1"/>
    <col min="7550" max="7550" width="0.7109375" style="1" customWidth="1"/>
    <col min="7551" max="7551" width="15.28515625" style="1" customWidth="1"/>
    <col min="7552" max="7552" width="0.7109375" style="1" customWidth="1"/>
    <col min="7553" max="7553" width="15.28515625" style="1" customWidth="1"/>
    <col min="7554" max="7554" width="14.42578125" style="1" bestFit="1" customWidth="1"/>
    <col min="7555" max="7557" width="16" style="1" customWidth="1"/>
    <col min="7558" max="7558" width="14.42578125" style="1" bestFit="1" customWidth="1"/>
    <col min="7559" max="7795" width="11.42578125" style="1"/>
    <col min="7796" max="7796" width="1.7109375" style="1" customWidth="1"/>
    <col min="7797" max="7797" width="45.42578125" style="1" customWidth="1"/>
    <col min="7798" max="7798" width="1.140625" style="1" customWidth="1"/>
    <col min="7799" max="7799" width="16.5703125" style="1" customWidth="1"/>
    <col min="7800" max="7800" width="0.7109375" style="1" customWidth="1"/>
    <col min="7801" max="7801" width="16.5703125" style="1" customWidth="1"/>
    <col min="7802" max="7802" width="0.7109375" style="1" customWidth="1"/>
    <col min="7803" max="7803" width="18" style="1" customWidth="1"/>
    <col min="7804" max="7804" width="1.140625" style="1" customWidth="1"/>
    <col min="7805" max="7805" width="15.28515625" style="1" customWidth="1"/>
    <col min="7806" max="7806" width="0.7109375" style="1" customWidth="1"/>
    <col min="7807" max="7807" width="15.28515625" style="1" customWidth="1"/>
    <col min="7808" max="7808" width="0.7109375" style="1" customWidth="1"/>
    <col min="7809" max="7809" width="15.28515625" style="1" customWidth="1"/>
    <col min="7810" max="7810" width="14.42578125" style="1" bestFit="1" customWidth="1"/>
    <col min="7811" max="7813" width="16" style="1" customWidth="1"/>
    <col min="7814" max="7814" width="14.42578125" style="1" bestFit="1" customWidth="1"/>
    <col min="7815" max="8051" width="11.42578125" style="1"/>
    <col min="8052" max="8052" width="1.7109375" style="1" customWidth="1"/>
    <col min="8053" max="8053" width="45.42578125" style="1" customWidth="1"/>
    <col min="8054" max="8054" width="1.140625" style="1" customWidth="1"/>
    <col min="8055" max="8055" width="16.5703125" style="1" customWidth="1"/>
    <col min="8056" max="8056" width="0.7109375" style="1" customWidth="1"/>
    <col min="8057" max="8057" width="16.5703125" style="1" customWidth="1"/>
    <col min="8058" max="8058" width="0.7109375" style="1" customWidth="1"/>
    <col min="8059" max="8059" width="18" style="1" customWidth="1"/>
    <col min="8060" max="8060" width="1.140625" style="1" customWidth="1"/>
    <col min="8061" max="8061" width="15.28515625" style="1" customWidth="1"/>
    <col min="8062" max="8062" width="0.7109375" style="1" customWidth="1"/>
    <col min="8063" max="8063" width="15.28515625" style="1" customWidth="1"/>
    <col min="8064" max="8064" width="0.7109375" style="1" customWidth="1"/>
    <col min="8065" max="8065" width="15.28515625" style="1" customWidth="1"/>
    <col min="8066" max="8066" width="14.42578125" style="1" bestFit="1" customWidth="1"/>
    <col min="8067" max="8069" width="16" style="1" customWidth="1"/>
    <col min="8070" max="8070" width="14.42578125" style="1" bestFit="1" customWidth="1"/>
    <col min="8071" max="8307" width="11.42578125" style="1"/>
    <col min="8308" max="8308" width="1.7109375" style="1" customWidth="1"/>
    <col min="8309" max="8309" width="45.42578125" style="1" customWidth="1"/>
    <col min="8310" max="8310" width="1.140625" style="1" customWidth="1"/>
    <col min="8311" max="8311" width="16.5703125" style="1" customWidth="1"/>
    <col min="8312" max="8312" width="0.7109375" style="1" customWidth="1"/>
    <col min="8313" max="8313" width="16.5703125" style="1" customWidth="1"/>
    <col min="8314" max="8314" width="0.7109375" style="1" customWidth="1"/>
    <col min="8315" max="8315" width="18" style="1" customWidth="1"/>
    <col min="8316" max="8316" width="1.140625" style="1" customWidth="1"/>
    <col min="8317" max="8317" width="15.28515625" style="1" customWidth="1"/>
    <col min="8318" max="8318" width="0.7109375" style="1" customWidth="1"/>
    <col min="8319" max="8319" width="15.28515625" style="1" customWidth="1"/>
    <col min="8320" max="8320" width="0.7109375" style="1" customWidth="1"/>
    <col min="8321" max="8321" width="15.28515625" style="1" customWidth="1"/>
    <col min="8322" max="8322" width="14.42578125" style="1" bestFit="1" customWidth="1"/>
    <col min="8323" max="8325" width="16" style="1" customWidth="1"/>
    <col min="8326" max="8326" width="14.42578125" style="1" bestFit="1" customWidth="1"/>
    <col min="8327" max="8563" width="11.42578125" style="1"/>
    <col min="8564" max="8564" width="1.7109375" style="1" customWidth="1"/>
    <col min="8565" max="8565" width="45.42578125" style="1" customWidth="1"/>
    <col min="8566" max="8566" width="1.140625" style="1" customWidth="1"/>
    <col min="8567" max="8567" width="16.5703125" style="1" customWidth="1"/>
    <col min="8568" max="8568" width="0.7109375" style="1" customWidth="1"/>
    <col min="8569" max="8569" width="16.5703125" style="1" customWidth="1"/>
    <col min="8570" max="8570" width="0.7109375" style="1" customWidth="1"/>
    <col min="8571" max="8571" width="18" style="1" customWidth="1"/>
    <col min="8572" max="8572" width="1.140625" style="1" customWidth="1"/>
    <col min="8573" max="8573" width="15.28515625" style="1" customWidth="1"/>
    <col min="8574" max="8574" width="0.7109375" style="1" customWidth="1"/>
    <col min="8575" max="8575" width="15.28515625" style="1" customWidth="1"/>
    <col min="8576" max="8576" width="0.7109375" style="1" customWidth="1"/>
    <col min="8577" max="8577" width="15.28515625" style="1" customWidth="1"/>
    <col min="8578" max="8578" width="14.42578125" style="1" bestFit="1" customWidth="1"/>
    <col min="8579" max="8581" width="16" style="1" customWidth="1"/>
    <col min="8582" max="8582" width="14.42578125" style="1" bestFit="1" customWidth="1"/>
    <col min="8583" max="8819" width="11.42578125" style="1"/>
    <col min="8820" max="8820" width="1.7109375" style="1" customWidth="1"/>
    <col min="8821" max="8821" width="45.42578125" style="1" customWidth="1"/>
    <col min="8822" max="8822" width="1.140625" style="1" customWidth="1"/>
    <col min="8823" max="8823" width="16.5703125" style="1" customWidth="1"/>
    <col min="8824" max="8824" width="0.7109375" style="1" customWidth="1"/>
    <col min="8825" max="8825" width="16.5703125" style="1" customWidth="1"/>
    <col min="8826" max="8826" width="0.7109375" style="1" customWidth="1"/>
    <col min="8827" max="8827" width="18" style="1" customWidth="1"/>
    <col min="8828" max="8828" width="1.140625" style="1" customWidth="1"/>
    <col min="8829" max="8829" width="15.28515625" style="1" customWidth="1"/>
    <col min="8830" max="8830" width="0.7109375" style="1" customWidth="1"/>
    <col min="8831" max="8831" width="15.28515625" style="1" customWidth="1"/>
    <col min="8832" max="8832" width="0.7109375" style="1" customWidth="1"/>
    <col min="8833" max="8833" width="15.28515625" style="1" customWidth="1"/>
    <col min="8834" max="8834" width="14.42578125" style="1" bestFit="1" customWidth="1"/>
    <col min="8835" max="8837" width="16" style="1" customWidth="1"/>
    <col min="8838" max="8838" width="14.42578125" style="1" bestFit="1" customWidth="1"/>
    <col min="8839" max="9075" width="11.42578125" style="1"/>
    <col min="9076" max="9076" width="1.7109375" style="1" customWidth="1"/>
    <col min="9077" max="9077" width="45.42578125" style="1" customWidth="1"/>
    <col min="9078" max="9078" width="1.140625" style="1" customWidth="1"/>
    <col min="9079" max="9079" width="16.5703125" style="1" customWidth="1"/>
    <col min="9080" max="9080" width="0.7109375" style="1" customWidth="1"/>
    <col min="9081" max="9081" width="16.5703125" style="1" customWidth="1"/>
    <col min="9082" max="9082" width="0.7109375" style="1" customWidth="1"/>
    <col min="9083" max="9083" width="18" style="1" customWidth="1"/>
    <col min="9084" max="9084" width="1.140625" style="1" customWidth="1"/>
    <col min="9085" max="9085" width="15.28515625" style="1" customWidth="1"/>
    <col min="9086" max="9086" width="0.7109375" style="1" customWidth="1"/>
    <col min="9087" max="9087" width="15.28515625" style="1" customWidth="1"/>
    <col min="9088" max="9088" width="0.7109375" style="1" customWidth="1"/>
    <col min="9089" max="9089" width="15.28515625" style="1" customWidth="1"/>
    <col min="9090" max="9090" width="14.42578125" style="1" bestFit="1" customWidth="1"/>
    <col min="9091" max="9093" width="16" style="1" customWidth="1"/>
    <col min="9094" max="9094" width="14.42578125" style="1" bestFit="1" customWidth="1"/>
    <col min="9095" max="9331" width="11.42578125" style="1"/>
    <col min="9332" max="9332" width="1.7109375" style="1" customWidth="1"/>
    <col min="9333" max="9333" width="45.42578125" style="1" customWidth="1"/>
    <col min="9334" max="9334" width="1.140625" style="1" customWidth="1"/>
    <col min="9335" max="9335" width="16.5703125" style="1" customWidth="1"/>
    <col min="9336" max="9336" width="0.7109375" style="1" customWidth="1"/>
    <col min="9337" max="9337" width="16.5703125" style="1" customWidth="1"/>
    <col min="9338" max="9338" width="0.7109375" style="1" customWidth="1"/>
    <col min="9339" max="9339" width="18" style="1" customWidth="1"/>
    <col min="9340" max="9340" width="1.140625" style="1" customWidth="1"/>
    <col min="9341" max="9341" width="15.28515625" style="1" customWidth="1"/>
    <col min="9342" max="9342" width="0.7109375" style="1" customWidth="1"/>
    <col min="9343" max="9343" width="15.28515625" style="1" customWidth="1"/>
    <col min="9344" max="9344" width="0.7109375" style="1" customWidth="1"/>
    <col min="9345" max="9345" width="15.28515625" style="1" customWidth="1"/>
    <col min="9346" max="9346" width="14.42578125" style="1" bestFit="1" customWidth="1"/>
    <col min="9347" max="9349" width="16" style="1" customWidth="1"/>
    <col min="9350" max="9350" width="14.42578125" style="1" bestFit="1" customWidth="1"/>
    <col min="9351" max="9587" width="11.42578125" style="1"/>
    <col min="9588" max="9588" width="1.7109375" style="1" customWidth="1"/>
    <col min="9589" max="9589" width="45.42578125" style="1" customWidth="1"/>
    <col min="9590" max="9590" width="1.140625" style="1" customWidth="1"/>
    <col min="9591" max="9591" width="16.5703125" style="1" customWidth="1"/>
    <col min="9592" max="9592" width="0.7109375" style="1" customWidth="1"/>
    <col min="9593" max="9593" width="16.5703125" style="1" customWidth="1"/>
    <col min="9594" max="9594" width="0.7109375" style="1" customWidth="1"/>
    <col min="9595" max="9595" width="18" style="1" customWidth="1"/>
    <col min="9596" max="9596" width="1.140625" style="1" customWidth="1"/>
    <col min="9597" max="9597" width="15.28515625" style="1" customWidth="1"/>
    <col min="9598" max="9598" width="0.7109375" style="1" customWidth="1"/>
    <col min="9599" max="9599" width="15.28515625" style="1" customWidth="1"/>
    <col min="9600" max="9600" width="0.7109375" style="1" customWidth="1"/>
    <col min="9601" max="9601" width="15.28515625" style="1" customWidth="1"/>
    <col min="9602" max="9602" width="14.42578125" style="1" bestFit="1" customWidth="1"/>
    <col min="9603" max="9605" width="16" style="1" customWidth="1"/>
    <col min="9606" max="9606" width="14.42578125" style="1" bestFit="1" customWidth="1"/>
    <col min="9607" max="9843" width="11.42578125" style="1"/>
    <col min="9844" max="9844" width="1.7109375" style="1" customWidth="1"/>
    <col min="9845" max="9845" width="45.42578125" style="1" customWidth="1"/>
    <col min="9846" max="9846" width="1.140625" style="1" customWidth="1"/>
    <col min="9847" max="9847" width="16.5703125" style="1" customWidth="1"/>
    <col min="9848" max="9848" width="0.7109375" style="1" customWidth="1"/>
    <col min="9849" max="9849" width="16.5703125" style="1" customWidth="1"/>
    <col min="9850" max="9850" width="0.7109375" style="1" customWidth="1"/>
    <col min="9851" max="9851" width="18" style="1" customWidth="1"/>
    <col min="9852" max="9852" width="1.140625" style="1" customWidth="1"/>
    <col min="9853" max="9853" width="15.28515625" style="1" customWidth="1"/>
    <col min="9854" max="9854" width="0.7109375" style="1" customWidth="1"/>
    <col min="9855" max="9855" width="15.28515625" style="1" customWidth="1"/>
    <col min="9856" max="9856" width="0.7109375" style="1" customWidth="1"/>
    <col min="9857" max="9857" width="15.28515625" style="1" customWidth="1"/>
    <col min="9858" max="9858" width="14.42578125" style="1" bestFit="1" customWidth="1"/>
    <col min="9859" max="9861" width="16" style="1" customWidth="1"/>
    <col min="9862" max="9862" width="14.42578125" style="1" bestFit="1" customWidth="1"/>
    <col min="9863" max="10099" width="11.42578125" style="1"/>
    <col min="10100" max="10100" width="1.7109375" style="1" customWidth="1"/>
    <col min="10101" max="10101" width="45.42578125" style="1" customWidth="1"/>
    <col min="10102" max="10102" width="1.140625" style="1" customWidth="1"/>
    <col min="10103" max="10103" width="16.5703125" style="1" customWidth="1"/>
    <col min="10104" max="10104" width="0.7109375" style="1" customWidth="1"/>
    <col min="10105" max="10105" width="16.5703125" style="1" customWidth="1"/>
    <col min="10106" max="10106" width="0.7109375" style="1" customWidth="1"/>
    <col min="10107" max="10107" width="18" style="1" customWidth="1"/>
    <col min="10108" max="10108" width="1.140625" style="1" customWidth="1"/>
    <col min="10109" max="10109" width="15.28515625" style="1" customWidth="1"/>
    <col min="10110" max="10110" width="0.7109375" style="1" customWidth="1"/>
    <col min="10111" max="10111" width="15.28515625" style="1" customWidth="1"/>
    <col min="10112" max="10112" width="0.7109375" style="1" customWidth="1"/>
    <col min="10113" max="10113" width="15.28515625" style="1" customWidth="1"/>
    <col min="10114" max="10114" width="14.42578125" style="1" bestFit="1" customWidth="1"/>
    <col min="10115" max="10117" width="16" style="1" customWidth="1"/>
    <col min="10118" max="10118" width="14.42578125" style="1" bestFit="1" customWidth="1"/>
    <col min="10119" max="10355" width="11.42578125" style="1"/>
    <col min="10356" max="10356" width="1.7109375" style="1" customWidth="1"/>
    <col min="10357" max="10357" width="45.42578125" style="1" customWidth="1"/>
    <col min="10358" max="10358" width="1.140625" style="1" customWidth="1"/>
    <col min="10359" max="10359" width="16.5703125" style="1" customWidth="1"/>
    <col min="10360" max="10360" width="0.7109375" style="1" customWidth="1"/>
    <col min="10361" max="10361" width="16.5703125" style="1" customWidth="1"/>
    <col min="10362" max="10362" width="0.7109375" style="1" customWidth="1"/>
    <col min="10363" max="10363" width="18" style="1" customWidth="1"/>
    <col min="10364" max="10364" width="1.140625" style="1" customWidth="1"/>
    <col min="10365" max="10365" width="15.28515625" style="1" customWidth="1"/>
    <col min="10366" max="10366" width="0.7109375" style="1" customWidth="1"/>
    <col min="10367" max="10367" width="15.28515625" style="1" customWidth="1"/>
    <col min="10368" max="10368" width="0.7109375" style="1" customWidth="1"/>
    <col min="10369" max="10369" width="15.28515625" style="1" customWidth="1"/>
    <col min="10370" max="10370" width="14.42578125" style="1" bestFit="1" customWidth="1"/>
    <col min="10371" max="10373" width="16" style="1" customWidth="1"/>
    <col min="10374" max="10374" width="14.42578125" style="1" bestFit="1" customWidth="1"/>
    <col min="10375" max="10611" width="11.42578125" style="1"/>
    <col min="10612" max="10612" width="1.7109375" style="1" customWidth="1"/>
    <col min="10613" max="10613" width="45.42578125" style="1" customWidth="1"/>
    <col min="10614" max="10614" width="1.140625" style="1" customWidth="1"/>
    <col min="10615" max="10615" width="16.5703125" style="1" customWidth="1"/>
    <col min="10616" max="10616" width="0.7109375" style="1" customWidth="1"/>
    <col min="10617" max="10617" width="16.5703125" style="1" customWidth="1"/>
    <col min="10618" max="10618" width="0.7109375" style="1" customWidth="1"/>
    <col min="10619" max="10619" width="18" style="1" customWidth="1"/>
    <col min="10620" max="10620" width="1.140625" style="1" customWidth="1"/>
    <col min="10621" max="10621" width="15.28515625" style="1" customWidth="1"/>
    <col min="10622" max="10622" width="0.7109375" style="1" customWidth="1"/>
    <col min="10623" max="10623" width="15.28515625" style="1" customWidth="1"/>
    <col min="10624" max="10624" width="0.7109375" style="1" customWidth="1"/>
    <col min="10625" max="10625" width="15.28515625" style="1" customWidth="1"/>
    <col min="10626" max="10626" width="14.42578125" style="1" bestFit="1" customWidth="1"/>
    <col min="10627" max="10629" width="16" style="1" customWidth="1"/>
    <col min="10630" max="10630" width="14.42578125" style="1" bestFit="1" customWidth="1"/>
    <col min="10631" max="10867" width="11.42578125" style="1"/>
    <col min="10868" max="10868" width="1.7109375" style="1" customWidth="1"/>
    <col min="10869" max="10869" width="45.42578125" style="1" customWidth="1"/>
    <col min="10870" max="10870" width="1.140625" style="1" customWidth="1"/>
    <col min="10871" max="10871" width="16.5703125" style="1" customWidth="1"/>
    <col min="10872" max="10872" width="0.7109375" style="1" customWidth="1"/>
    <col min="10873" max="10873" width="16.5703125" style="1" customWidth="1"/>
    <col min="10874" max="10874" width="0.7109375" style="1" customWidth="1"/>
    <col min="10875" max="10875" width="18" style="1" customWidth="1"/>
    <col min="10876" max="10876" width="1.140625" style="1" customWidth="1"/>
    <col min="10877" max="10877" width="15.28515625" style="1" customWidth="1"/>
    <col min="10878" max="10878" width="0.7109375" style="1" customWidth="1"/>
    <col min="10879" max="10879" width="15.28515625" style="1" customWidth="1"/>
    <col min="10880" max="10880" width="0.7109375" style="1" customWidth="1"/>
    <col min="10881" max="10881" width="15.28515625" style="1" customWidth="1"/>
    <col min="10882" max="10882" width="14.42578125" style="1" bestFit="1" customWidth="1"/>
    <col min="10883" max="10885" width="16" style="1" customWidth="1"/>
    <col min="10886" max="10886" width="14.42578125" style="1" bestFit="1" customWidth="1"/>
    <col min="10887" max="11123" width="11.42578125" style="1"/>
    <col min="11124" max="11124" width="1.7109375" style="1" customWidth="1"/>
    <col min="11125" max="11125" width="45.42578125" style="1" customWidth="1"/>
    <col min="11126" max="11126" width="1.140625" style="1" customWidth="1"/>
    <col min="11127" max="11127" width="16.5703125" style="1" customWidth="1"/>
    <col min="11128" max="11128" width="0.7109375" style="1" customWidth="1"/>
    <col min="11129" max="11129" width="16.5703125" style="1" customWidth="1"/>
    <col min="11130" max="11130" width="0.7109375" style="1" customWidth="1"/>
    <col min="11131" max="11131" width="18" style="1" customWidth="1"/>
    <col min="11132" max="11132" width="1.140625" style="1" customWidth="1"/>
    <col min="11133" max="11133" width="15.28515625" style="1" customWidth="1"/>
    <col min="11134" max="11134" width="0.7109375" style="1" customWidth="1"/>
    <col min="11135" max="11135" width="15.28515625" style="1" customWidth="1"/>
    <col min="11136" max="11136" width="0.7109375" style="1" customWidth="1"/>
    <col min="11137" max="11137" width="15.28515625" style="1" customWidth="1"/>
    <col min="11138" max="11138" width="14.42578125" style="1" bestFit="1" customWidth="1"/>
    <col min="11139" max="11141" width="16" style="1" customWidth="1"/>
    <col min="11142" max="11142" width="14.42578125" style="1" bestFit="1" customWidth="1"/>
    <col min="11143" max="11379" width="11.42578125" style="1"/>
    <col min="11380" max="11380" width="1.7109375" style="1" customWidth="1"/>
    <col min="11381" max="11381" width="45.42578125" style="1" customWidth="1"/>
    <col min="11382" max="11382" width="1.140625" style="1" customWidth="1"/>
    <col min="11383" max="11383" width="16.5703125" style="1" customWidth="1"/>
    <col min="11384" max="11384" width="0.7109375" style="1" customWidth="1"/>
    <col min="11385" max="11385" width="16.5703125" style="1" customWidth="1"/>
    <col min="11386" max="11386" width="0.7109375" style="1" customWidth="1"/>
    <col min="11387" max="11387" width="18" style="1" customWidth="1"/>
    <col min="11388" max="11388" width="1.140625" style="1" customWidth="1"/>
    <col min="11389" max="11389" width="15.28515625" style="1" customWidth="1"/>
    <col min="11390" max="11390" width="0.7109375" style="1" customWidth="1"/>
    <col min="11391" max="11391" width="15.28515625" style="1" customWidth="1"/>
    <col min="11392" max="11392" width="0.7109375" style="1" customWidth="1"/>
    <col min="11393" max="11393" width="15.28515625" style="1" customWidth="1"/>
    <col min="11394" max="11394" width="14.42578125" style="1" bestFit="1" customWidth="1"/>
    <col min="11395" max="11397" width="16" style="1" customWidth="1"/>
    <col min="11398" max="11398" width="14.42578125" style="1" bestFit="1" customWidth="1"/>
    <col min="11399" max="11635" width="11.42578125" style="1"/>
    <col min="11636" max="11636" width="1.7109375" style="1" customWidth="1"/>
    <col min="11637" max="11637" width="45.42578125" style="1" customWidth="1"/>
    <col min="11638" max="11638" width="1.140625" style="1" customWidth="1"/>
    <col min="11639" max="11639" width="16.5703125" style="1" customWidth="1"/>
    <col min="11640" max="11640" width="0.7109375" style="1" customWidth="1"/>
    <col min="11641" max="11641" width="16.5703125" style="1" customWidth="1"/>
    <col min="11642" max="11642" width="0.7109375" style="1" customWidth="1"/>
    <col min="11643" max="11643" width="18" style="1" customWidth="1"/>
    <col min="11644" max="11644" width="1.140625" style="1" customWidth="1"/>
    <col min="11645" max="11645" width="15.28515625" style="1" customWidth="1"/>
    <col min="11646" max="11646" width="0.7109375" style="1" customWidth="1"/>
    <col min="11647" max="11647" width="15.28515625" style="1" customWidth="1"/>
    <col min="11648" max="11648" width="0.7109375" style="1" customWidth="1"/>
    <col min="11649" max="11649" width="15.28515625" style="1" customWidth="1"/>
    <col min="11650" max="11650" width="14.42578125" style="1" bestFit="1" customWidth="1"/>
    <col min="11651" max="11653" width="16" style="1" customWidth="1"/>
    <col min="11654" max="11654" width="14.42578125" style="1" bestFit="1" customWidth="1"/>
    <col min="11655" max="11891" width="11.42578125" style="1"/>
    <col min="11892" max="11892" width="1.7109375" style="1" customWidth="1"/>
    <col min="11893" max="11893" width="45.42578125" style="1" customWidth="1"/>
    <col min="11894" max="11894" width="1.140625" style="1" customWidth="1"/>
    <col min="11895" max="11895" width="16.5703125" style="1" customWidth="1"/>
    <col min="11896" max="11896" width="0.7109375" style="1" customWidth="1"/>
    <col min="11897" max="11897" width="16.5703125" style="1" customWidth="1"/>
    <col min="11898" max="11898" width="0.7109375" style="1" customWidth="1"/>
    <col min="11899" max="11899" width="18" style="1" customWidth="1"/>
    <col min="11900" max="11900" width="1.140625" style="1" customWidth="1"/>
    <col min="11901" max="11901" width="15.28515625" style="1" customWidth="1"/>
    <col min="11902" max="11902" width="0.7109375" style="1" customWidth="1"/>
    <col min="11903" max="11903" width="15.28515625" style="1" customWidth="1"/>
    <col min="11904" max="11904" width="0.7109375" style="1" customWidth="1"/>
    <col min="11905" max="11905" width="15.28515625" style="1" customWidth="1"/>
    <col min="11906" max="11906" width="14.42578125" style="1" bestFit="1" customWidth="1"/>
    <col min="11907" max="11909" width="16" style="1" customWidth="1"/>
    <col min="11910" max="11910" width="14.42578125" style="1" bestFit="1" customWidth="1"/>
    <col min="11911" max="12147" width="11.42578125" style="1"/>
    <col min="12148" max="12148" width="1.7109375" style="1" customWidth="1"/>
    <col min="12149" max="12149" width="45.42578125" style="1" customWidth="1"/>
    <col min="12150" max="12150" width="1.140625" style="1" customWidth="1"/>
    <col min="12151" max="12151" width="16.5703125" style="1" customWidth="1"/>
    <col min="12152" max="12152" width="0.7109375" style="1" customWidth="1"/>
    <col min="12153" max="12153" width="16.5703125" style="1" customWidth="1"/>
    <col min="12154" max="12154" width="0.7109375" style="1" customWidth="1"/>
    <col min="12155" max="12155" width="18" style="1" customWidth="1"/>
    <col min="12156" max="12156" width="1.140625" style="1" customWidth="1"/>
    <col min="12157" max="12157" width="15.28515625" style="1" customWidth="1"/>
    <col min="12158" max="12158" width="0.7109375" style="1" customWidth="1"/>
    <col min="12159" max="12159" width="15.28515625" style="1" customWidth="1"/>
    <col min="12160" max="12160" width="0.7109375" style="1" customWidth="1"/>
    <col min="12161" max="12161" width="15.28515625" style="1" customWidth="1"/>
    <col min="12162" max="12162" width="14.42578125" style="1" bestFit="1" customWidth="1"/>
    <col min="12163" max="12165" width="16" style="1" customWidth="1"/>
    <col min="12166" max="12166" width="14.42578125" style="1" bestFit="1" customWidth="1"/>
    <col min="12167" max="12403" width="11.42578125" style="1"/>
    <col min="12404" max="12404" width="1.7109375" style="1" customWidth="1"/>
    <col min="12405" max="12405" width="45.42578125" style="1" customWidth="1"/>
    <col min="12406" max="12406" width="1.140625" style="1" customWidth="1"/>
    <col min="12407" max="12407" width="16.5703125" style="1" customWidth="1"/>
    <col min="12408" max="12408" width="0.7109375" style="1" customWidth="1"/>
    <col min="12409" max="12409" width="16.5703125" style="1" customWidth="1"/>
    <col min="12410" max="12410" width="0.7109375" style="1" customWidth="1"/>
    <col min="12411" max="12411" width="18" style="1" customWidth="1"/>
    <col min="12412" max="12412" width="1.140625" style="1" customWidth="1"/>
    <col min="12413" max="12413" width="15.28515625" style="1" customWidth="1"/>
    <col min="12414" max="12414" width="0.7109375" style="1" customWidth="1"/>
    <col min="12415" max="12415" width="15.28515625" style="1" customWidth="1"/>
    <col min="12416" max="12416" width="0.7109375" style="1" customWidth="1"/>
    <col min="12417" max="12417" width="15.28515625" style="1" customWidth="1"/>
    <col min="12418" max="12418" width="14.42578125" style="1" bestFit="1" customWidth="1"/>
    <col min="12419" max="12421" width="16" style="1" customWidth="1"/>
    <col min="12422" max="12422" width="14.42578125" style="1" bestFit="1" customWidth="1"/>
    <col min="12423" max="12659" width="11.42578125" style="1"/>
    <col min="12660" max="12660" width="1.7109375" style="1" customWidth="1"/>
    <col min="12661" max="12661" width="45.42578125" style="1" customWidth="1"/>
    <col min="12662" max="12662" width="1.140625" style="1" customWidth="1"/>
    <col min="12663" max="12663" width="16.5703125" style="1" customWidth="1"/>
    <col min="12664" max="12664" width="0.7109375" style="1" customWidth="1"/>
    <col min="12665" max="12665" width="16.5703125" style="1" customWidth="1"/>
    <col min="12666" max="12666" width="0.7109375" style="1" customWidth="1"/>
    <col min="12667" max="12667" width="18" style="1" customWidth="1"/>
    <col min="12668" max="12668" width="1.140625" style="1" customWidth="1"/>
    <col min="12669" max="12669" width="15.28515625" style="1" customWidth="1"/>
    <col min="12670" max="12670" width="0.7109375" style="1" customWidth="1"/>
    <col min="12671" max="12671" width="15.28515625" style="1" customWidth="1"/>
    <col min="12672" max="12672" width="0.7109375" style="1" customWidth="1"/>
    <col min="12673" max="12673" width="15.28515625" style="1" customWidth="1"/>
    <col min="12674" max="12674" width="14.42578125" style="1" bestFit="1" customWidth="1"/>
    <col min="12675" max="12677" width="16" style="1" customWidth="1"/>
    <col min="12678" max="12678" width="14.42578125" style="1" bestFit="1" customWidth="1"/>
    <col min="12679" max="12915" width="11.42578125" style="1"/>
    <col min="12916" max="12916" width="1.7109375" style="1" customWidth="1"/>
    <col min="12917" max="12917" width="45.42578125" style="1" customWidth="1"/>
    <col min="12918" max="12918" width="1.140625" style="1" customWidth="1"/>
    <col min="12919" max="12919" width="16.5703125" style="1" customWidth="1"/>
    <col min="12920" max="12920" width="0.7109375" style="1" customWidth="1"/>
    <col min="12921" max="12921" width="16.5703125" style="1" customWidth="1"/>
    <col min="12922" max="12922" width="0.7109375" style="1" customWidth="1"/>
    <col min="12923" max="12923" width="18" style="1" customWidth="1"/>
    <col min="12924" max="12924" width="1.140625" style="1" customWidth="1"/>
    <col min="12925" max="12925" width="15.28515625" style="1" customWidth="1"/>
    <col min="12926" max="12926" width="0.7109375" style="1" customWidth="1"/>
    <col min="12927" max="12927" width="15.28515625" style="1" customWidth="1"/>
    <col min="12928" max="12928" width="0.7109375" style="1" customWidth="1"/>
    <col min="12929" max="12929" width="15.28515625" style="1" customWidth="1"/>
    <col min="12930" max="12930" width="14.42578125" style="1" bestFit="1" customWidth="1"/>
    <col min="12931" max="12933" width="16" style="1" customWidth="1"/>
    <col min="12934" max="12934" width="14.42578125" style="1" bestFit="1" customWidth="1"/>
    <col min="12935" max="13171" width="11.42578125" style="1"/>
    <col min="13172" max="13172" width="1.7109375" style="1" customWidth="1"/>
    <col min="13173" max="13173" width="45.42578125" style="1" customWidth="1"/>
    <col min="13174" max="13174" width="1.140625" style="1" customWidth="1"/>
    <col min="13175" max="13175" width="16.5703125" style="1" customWidth="1"/>
    <col min="13176" max="13176" width="0.7109375" style="1" customWidth="1"/>
    <col min="13177" max="13177" width="16.5703125" style="1" customWidth="1"/>
    <col min="13178" max="13178" width="0.7109375" style="1" customWidth="1"/>
    <col min="13179" max="13179" width="18" style="1" customWidth="1"/>
    <col min="13180" max="13180" width="1.140625" style="1" customWidth="1"/>
    <col min="13181" max="13181" width="15.28515625" style="1" customWidth="1"/>
    <col min="13182" max="13182" width="0.7109375" style="1" customWidth="1"/>
    <col min="13183" max="13183" width="15.28515625" style="1" customWidth="1"/>
    <col min="13184" max="13184" width="0.7109375" style="1" customWidth="1"/>
    <col min="13185" max="13185" width="15.28515625" style="1" customWidth="1"/>
    <col min="13186" max="13186" width="14.42578125" style="1" bestFit="1" customWidth="1"/>
    <col min="13187" max="13189" width="16" style="1" customWidth="1"/>
    <col min="13190" max="13190" width="14.42578125" style="1" bestFit="1" customWidth="1"/>
    <col min="13191" max="13427" width="11.42578125" style="1"/>
    <col min="13428" max="13428" width="1.7109375" style="1" customWidth="1"/>
    <col min="13429" max="13429" width="45.42578125" style="1" customWidth="1"/>
    <col min="13430" max="13430" width="1.140625" style="1" customWidth="1"/>
    <col min="13431" max="13431" width="16.5703125" style="1" customWidth="1"/>
    <col min="13432" max="13432" width="0.7109375" style="1" customWidth="1"/>
    <col min="13433" max="13433" width="16.5703125" style="1" customWidth="1"/>
    <col min="13434" max="13434" width="0.7109375" style="1" customWidth="1"/>
    <col min="13435" max="13435" width="18" style="1" customWidth="1"/>
    <col min="13436" max="13436" width="1.140625" style="1" customWidth="1"/>
    <col min="13437" max="13437" width="15.28515625" style="1" customWidth="1"/>
    <col min="13438" max="13438" width="0.7109375" style="1" customWidth="1"/>
    <col min="13439" max="13439" width="15.28515625" style="1" customWidth="1"/>
    <col min="13440" max="13440" width="0.7109375" style="1" customWidth="1"/>
    <col min="13441" max="13441" width="15.28515625" style="1" customWidth="1"/>
    <col min="13442" max="13442" width="14.42578125" style="1" bestFit="1" customWidth="1"/>
    <col min="13443" max="13445" width="16" style="1" customWidth="1"/>
    <col min="13446" max="13446" width="14.42578125" style="1" bestFit="1" customWidth="1"/>
    <col min="13447" max="13683" width="11.42578125" style="1"/>
    <col min="13684" max="13684" width="1.7109375" style="1" customWidth="1"/>
    <col min="13685" max="13685" width="45.42578125" style="1" customWidth="1"/>
    <col min="13686" max="13686" width="1.140625" style="1" customWidth="1"/>
    <col min="13687" max="13687" width="16.5703125" style="1" customWidth="1"/>
    <col min="13688" max="13688" width="0.7109375" style="1" customWidth="1"/>
    <col min="13689" max="13689" width="16.5703125" style="1" customWidth="1"/>
    <col min="13690" max="13690" width="0.7109375" style="1" customWidth="1"/>
    <col min="13691" max="13691" width="18" style="1" customWidth="1"/>
    <col min="13692" max="13692" width="1.140625" style="1" customWidth="1"/>
    <col min="13693" max="13693" width="15.28515625" style="1" customWidth="1"/>
    <col min="13694" max="13694" width="0.7109375" style="1" customWidth="1"/>
    <col min="13695" max="13695" width="15.28515625" style="1" customWidth="1"/>
    <col min="13696" max="13696" width="0.7109375" style="1" customWidth="1"/>
    <col min="13697" max="13697" width="15.28515625" style="1" customWidth="1"/>
    <col min="13698" max="13698" width="14.42578125" style="1" bestFit="1" customWidth="1"/>
    <col min="13699" max="13701" width="16" style="1" customWidth="1"/>
    <col min="13702" max="13702" width="14.42578125" style="1" bestFit="1" customWidth="1"/>
    <col min="13703" max="13939" width="11.42578125" style="1"/>
    <col min="13940" max="13940" width="1.7109375" style="1" customWidth="1"/>
    <col min="13941" max="13941" width="45.42578125" style="1" customWidth="1"/>
    <col min="13942" max="13942" width="1.140625" style="1" customWidth="1"/>
    <col min="13943" max="13943" width="16.5703125" style="1" customWidth="1"/>
    <col min="13944" max="13944" width="0.7109375" style="1" customWidth="1"/>
    <col min="13945" max="13945" width="16.5703125" style="1" customWidth="1"/>
    <col min="13946" max="13946" width="0.7109375" style="1" customWidth="1"/>
    <col min="13947" max="13947" width="18" style="1" customWidth="1"/>
    <col min="13948" max="13948" width="1.140625" style="1" customWidth="1"/>
    <col min="13949" max="13949" width="15.28515625" style="1" customWidth="1"/>
    <col min="13950" max="13950" width="0.7109375" style="1" customWidth="1"/>
    <col min="13951" max="13951" width="15.28515625" style="1" customWidth="1"/>
    <col min="13952" max="13952" width="0.7109375" style="1" customWidth="1"/>
    <col min="13953" max="13953" width="15.28515625" style="1" customWidth="1"/>
    <col min="13954" max="13954" width="14.42578125" style="1" bestFit="1" customWidth="1"/>
    <col min="13955" max="13957" width="16" style="1" customWidth="1"/>
    <col min="13958" max="13958" width="14.42578125" style="1" bestFit="1" customWidth="1"/>
    <col min="13959" max="14195" width="11.42578125" style="1"/>
    <col min="14196" max="14196" width="1.7109375" style="1" customWidth="1"/>
    <col min="14197" max="14197" width="45.42578125" style="1" customWidth="1"/>
    <col min="14198" max="14198" width="1.140625" style="1" customWidth="1"/>
    <col min="14199" max="14199" width="16.5703125" style="1" customWidth="1"/>
    <col min="14200" max="14200" width="0.7109375" style="1" customWidth="1"/>
    <col min="14201" max="14201" width="16.5703125" style="1" customWidth="1"/>
    <col min="14202" max="14202" width="0.7109375" style="1" customWidth="1"/>
    <col min="14203" max="14203" width="18" style="1" customWidth="1"/>
    <col min="14204" max="14204" width="1.140625" style="1" customWidth="1"/>
    <col min="14205" max="14205" width="15.28515625" style="1" customWidth="1"/>
    <col min="14206" max="14206" width="0.7109375" style="1" customWidth="1"/>
    <col min="14207" max="14207" width="15.28515625" style="1" customWidth="1"/>
    <col min="14208" max="14208" width="0.7109375" style="1" customWidth="1"/>
    <col min="14209" max="14209" width="15.28515625" style="1" customWidth="1"/>
    <col min="14210" max="14210" width="14.42578125" style="1" bestFit="1" customWidth="1"/>
    <col min="14211" max="14213" width="16" style="1" customWidth="1"/>
    <col min="14214" max="14214" width="14.42578125" style="1" bestFit="1" customWidth="1"/>
    <col min="14215" max="14451" width="11.42578125" style="1"/>
    <col min="14452" max="14452" width="1.7109375" style="1" customWidth="1"/>
    <col min="14453" max="14453" width="45.42578125" style="1" customWidth="1"/>
    <col min="14454" max="14454" width="1.140625" style="1" customWidth="1"/>
    <col min="14455" max="14455" width="16.5703125" style="1" customWidth="1"/>
    <col min="14456" max="14456" width="0.7109375" style="1" customWidth="1"/>
    <col min="14457" max="14457" width="16.5703125" style="1" customWidth="1"/>
    <col min="14458" max="14458" width="0.7109375" style="1" customWidth="1"/>
    <col min="14459" max="14459" width="18" style="1" customWidth="1"/>
    <col min="14460" max="14460" width="1.140625" style="1" customWidth="1"/>
    <col min="14461" max="14461" width="15.28515625" style="1" customWidth="1"/>
    <col min="14462" max="14462" width="0.7109375" style="1" customWidth="1"/>
    <col min="14463" max="14463" width="15.28515625" style="1" customWidth="1"/>
    <col min="14464" max="14464" width="0.7109375" style="1" customWidth="1"/>
    <col min="14465" max="14465" width="15.28515625" style="1" customWidth="1"/>
    <col min="14466" max="14466" width="14.42578125" style="1" bestFit="1" customWidth="1"/>
    <col min="14467" max="14469" width="16" style="1" customWidth="1"/>
    <col min="14470" max="14470" width="14.42578125" style="1" bestFit="1" customWidth="1"/>
    <col min="14471" max="14707" width="11.42578125" style="1"/>
    <col min="14708" max="14708" width="1.7109375" style="1" customWidth="1"/>
    <col min="14709" max="14709" width="45.42578125" style="1" customWidth="1"/>
    <col min="14710" max="14710" width="1.140625" style="1" customWidth="1"/>
    <col min="14711" max="14711" width="16.5703125" style="1" customWidth="1"/>
    <col min="14712" max="14712" width="0.7109375" style="1" customWidth="1"/>
    <col min="14713" max="14713" width="16.5703125" style="1" customWidth="1"/>
    <col min="14714" max="14714" width="0.7109375" style="1" customWidth="1"/>
    <col min="14715" max="14715" width="18" style="1" customWidth="1"/>
    <col min="14716" max="14716" width="1.140625" style="1" customWidth="1"/>
    <col min="14717" max="14717" width="15.28515625" style="1" customWidth="1"/>
    <col min="14718" max="14718" width="0.7109375" style="1" customWidth="1"/>
    <col min="14719" max="14719" width="15.28515625" style="1" customWidth="1"/>
    <col min="14720" max="14720" width="0.7109375" style="1" customWidth="1"/>
    <col min="14721" max="14721" width="15.28515625" style="1" customWidth="1"/>
    <col min="14722" max="14722" width="14.42578125" style="1" bestFit="1" customWidth="1"/>
    <col min="14723" max="14725" width="16" style="1" customWidth="1"/>
    <col min="14726" max="14726" width="14.42578125" style="1" bestFit="1" customWidth="1"/>
    <col min="14727" max="14963" width="11.42578125" style="1"/>
    <col min="14964" max="14964" width="1.7109375" style="1" customWidth="1"/>
    <col min="14965" max="14965" width="45.42578125" style="1" customWidth="1"/>
    <col min="14966" max="14966" width="1.140625" style="1" customWidth="1"/>
    <col min="14967" max="14967" width="16.5703125" style="1" customWidth="1"/>
    <col min="14968" max="14968" width="0.7109375" style="1" customWidth="1"/>
    <col min="14969" max="14969" width="16.5703125" style="1" customWidth="1"/>
    <col min="14970" max="14970" width="0.7109375" style="1" customWidth="1"/>
    <col min="14971" max="14971" width="18" style="1" customWidth="1"/>
    <col min="14972" max="14972" width="1.140625" style="1" customWidth="1"/>
    <col min="14973" max="14973" width="15.28515625" style="1" customWidth="1"/>
    <col min="14974" max="14974" width="0.7109375" style="1" customWidth="1"/>
    <col min="14975" max="14975" width="15.28515625" style="1" customWidth="1"/>
    <col min="14976" max="14976" width="0.7109375" style="1" customWidth="1"/>
    <col min="14977" max="14977" width="15.28515625" style="1" customWidth="1"/>
    <col min="14978" max="14978" width="14.42578125" style="1" bestFit="1" customWidth="1"/>
    <col min="14979" max="14981" width="16" style="1" customWidth="1"/>
    <col min="14982" max="14982" width="14.42578125" style="1" bestFit="1" customWidth="1"/>
    <col min="14983" max="15219" width="11.42578125" style="1"/>
    <col min="15220" max="15220" width="1.7109375" style="1" customWidth="1"/>
    <col min="15221" max="15221" width="45.42578125" style="1" customWidth="1"/>
    <col min="15222" max="15222" width="1.140625" style="1" customWidth="1"/>
    <col min="15223" max="15223" width="16.5703125" style="1" customWidth="1"/>
    <col min="15224" max="15224" width="0.7109375" style="1" customWidth="1"/>
    <col min="15225" max="15225" width="16.5703125" style="1" customWidth="1"/>
    <col min="15226" max="15226" width="0.7109375" style="1" customWidth="1"/>
    <col min="15227" max="15227" width="18" style="1" customWidth="1"/>
    <col min="15228" max="15228" width="1.140625" style="1" customWidth="1"/>
    <col min="15229" max="15229" width="15.28515625" style="1" customWidth="1"/>
    <col min="15230" max="15230" width="0.7109375" style="1" customWidth="1"/>
    <col min="15231" max="15231" width="15.28515625" style="1" customWidth="1"/>
    <col min="15232" max="15232" width="0.7109375" style="1" customWidth="1"/>
    <col min="15233" max="15233" width="15.28515625" style="1" customWidth="1"/>
    <col min="15234" max="15234" width="14.42578125" style="1" bestFit="1" customWidth="1"/>
    <col min="15235" max="15237" width="16" style="1" customWidth="1"/>
    <col min="15238" max="15238" width="14.42578125" style="1" bestFit="1" customWidth="1"/>
    <col min="15239" max="15475" width="11.42578125" style="1"/>
    <col min="15476" max="15476" width="1.7109375" style="1" customWidth="1"/>
    <col min="15477" max="15477" width="45.42578125" style="1" customWidth="1"/>
    <col min="15478" max="15478" width="1.140625" style="1" customWidth="1"/>
    <col min="15479" max="15479" width="16.5703125" style="1" customWidth="1"/>
    <col min="15480" max="15480" width="0.7109375" style="1" customWidth="1"/>
    <col min="15481" max="15481" width="16.5703125" style="1" customWidth="1"/>
    <col min="15482" max="15482" width="0.7109375" style="1" customWidth="1"/>
    <col min="15483" max="15483" width="18" style="1" customWidth="1"/>
    <col min="15484" max="15484" width="1.140625" style="1" customWidth="1"/>
    <col min="15485" max="15485" width="15.28515625" style="1" customWidth="1"/>
    <col min="15486" max="15486" width="0.7109375" style="1" customWidth="1"/>
    <col min="15487" max="15487" width="15.28515625" style="1" customWidth="1"/>
    <col min="15488" max="15488" width="0.7109375" style="1" customWidth="1"/>
    <col min="15489" max="15489" width="15.28515625" style="1" customWidth="1"/>
    <col min="15490" max="15490" width="14.42578125" style="1" bestFit="1" customWidth="1"/>
    <col min="15491" max="15493" width="16" style="1" customWidth="1"/>
    <col min="15494" max="15494" width="14.42578125" style="1" bestFit="1" customWidth="1"/>
    <col min="15495" max="15731" width="11.42578125" style="1"/>
    <col min="15732" max="15732" width="1.7109375" style="1" customWidth="1"/>
    <col min="15733" max="15733" width="45.42578125" style="1" customWidth="1"/>
    <col min="15734" max="15734" width="1.140625" style="1" customWidth="1"/>
    <col min="15735" max="15735" width="16.5703125" style="1" customWidth="1"/>
    <col min="15736" max="15736" width="0.7109375" style="1" customWidth="1"/>
    <col min="15737" max="15737" width="16.5703125" style="1" customWidth="1"/>
    <col min="15738" max="15738" width="0.7109375" style="1" customWidth="1"/>
    <col min="15739" max="15739" width="18" style="1" customWidth="1"/>
    <col min="15740" max="15740" width="1.140625" style="1" customWidth="1"/>
    <col min="15741" max="15741" width="15.28515625" style="1" customWidth="1"/>
    <col min="15742" max="15742" width="0.7109375" style="1" customWidth="1"/>
    <col min="15743" max="15743" width="15.28515625" style="1" customWidth="1"/>
    <col min="15744" max="15744" width="0.7109375" style="1" customWidth="1"/>
    <col min="15745" max="15745" width="15.28515625" style="1" customWidth="1"/>
    <col min="15746" max="15746" width="14.42578125" style="1" bestFit="1" customWidth="1"/>
    <col min="15747" max="15749" width="16" style="1" customWidth="1"/>
    <col min="15750" max="15750" width="14.42578125" style="1" bestFit="1" customWidth="1"/>
    <col min="15751" max="15987" width="11.42578125" style="1"/>
    <col min="15988" max="15988" width="1.7109375" style="1" customWidth="1"/>
    <col min="15989" max="15989" width="45.42578125" style="1" customWidth="1"/>
    <col min="15990" max="15990" width="1.140625" style="1" customWidth="1"/>
    <col min="15991" max="15991" width="16.5703125" style="1" customWidth="1"/>
    <col min="15992" max="15992" width="0.7109375" style="1" customWidth="1"/>
    <col min="15993" max="15993" width="16.5703125" style="1" customWidth="1"/>
    <col min="15994" max="15994" width="0.7109375" style="1" customWidth="1"/>
    <col min="15995" max="15995" width="18" style="1" customWidth="1"/>
    <col min="15996" max="15996" width="1.140625" style="1" customWidth="1"/>
    <col min="15997" max="15997" width="15.28515625" style="1" customWidth="1"/>
    <col min="15998" max="15998" width="0.7109375" style="1" customWidth="1"/>
    <col min="15999" max="15999" width="15.28515625" style="1" customWidth="1"/>
    <col min="16000" max="16000" width="0.7109375" style="1" customWidth="1"/>
    <col min="16001" max="16001" width="15.28515625" style="1" customWidth="1"/>
    <col min="16002" max="16002" width="14.42578125" style="1" bestFit="1" customWidth="1"/>
    <col min="16003" max="16005" width="16" style="1" customWidth="1"/>
    <col min="16006" max="16006" width="14.42578125" style="1" bestFit="1" customWidth="1"/>
    <col min="16007" max="16384" width="11.42578125" style="1"/>
  </cols>
  <sheetData>
    <row r="1" spans="1:14" ht="7.5" customHeight="1" x14ac:dyDescent="0.2">
      <c r="A1" s="1" t="s">
        <v>0</v>
      </c>
    </row>
    <row r="2" spans="1:14" ht="18" x14ac:dyDescent="0.25">
      <c r="B2" s="95" t="s">
        <v>1</v>
      </c>
      <c r="C2" s="95"/>
      <c r="D2" s="95"/>
      <c r="E2" s="95"/>
      <c r="F2" s="95"/>
      <c r="G2" s="95"/>
      <c r="H2" s="95"/>
      <c r="I2" s="95"/>
      <c r="J2" s="95"/>
      <c r="K2" s="95"/>
      <c r="L2" s="95"/>
      <c r="M2" s="95"/>
      <c r="N2" s="95"/>
    </row>
    <row r="4" spans="1:14" s="2" customFormat="1" ht="20.25" x14ac:dyDescent="0.3">
      <c r="B4" s="96" t="s">
        <v>2</v>
      </c>
      <c r="C4" s="97"/>
      <c r="D4" s="97"/>
      <c r="E4" s="97"/>
      <c r="F4" s="97"/>
      <c r="G4" s="97"/>
      <c r="H4" s="98"/>
    </row>
    <row r="5" spans="1:14" s="2" customFormat="1" ht="20.25" customHeight="1" x14ac:dyDescent="0.3">
      <c r="B5" s="3" t="s">
        <v>36</v>
      </c>
      <c r="N5" s="1"/>
    </row>
    <row r="6" spans="1:14" ht="15" customHeight="1" x14ac:dyDescent="0.2">
      <c r="B6" s="4"/>
    </row>
    <row r="7" spans="1:14" ht="12.75" customHeight="1" x14ac:dyDescent="0.2">
      <c r="B7" s="5"/>
      <c r="C7" s="5"/>
      <c r="D7" s="99" t="s">
        <v>4</v>
      </c>
      <c r="E7" s="99"/>
      <c r="F7" s="100" t="s">
        <v>5</v>
      </c>
      <c r="G7" s="100"/>
      <c r="H7" s="101" t="str">
        <f>+B5&amp;" (Mes)"</f>
        <v>Febrero (Mes)</v>
      </c>
      <c r="I7" s="101"/>
      <c r="J7" s="102">
        <v>4446.87</v>
      </c>
      <c r="K7" s="103"/>
      <c r="N7" s="39"/>
    </row>
    <row r="8" spans="1:14" ht="12.75" customHeight="1" x14ac:dyDescent="0.2">
      <c r="B8" s="5"/>
      <c r="C8" s="5"/>
      <c r="D8" s="99"/>
      <c r="E8" s="99"/>
      <c r="F8" s="100"/>
      <c r="G8" s="100"/>
      <c r="H8" s="101" t="s">
        <v>113</v>
      </c>
      <c r="I8" s="101"/>
      <c r="J8" s="102">
        <v>4366.57</v>
      </c>
      <c r="K8" s="103"/>
      <c r="N8" s="40"/>
    </row>
    <row r="9" spans="1:14" ht="12.75" customHeight="1" x14ac:dyDescent="0.2">
      <c r="B9" s="5"/>
      <c r="C9" s="5"/>
      <c r="D9" s="99"/>
      <c r="E9" s="99"/>
      <c r="F9" s="100"/>
      <c r="G9" s="100"/>
      <c r="H9" s="101" t="s">
        <v>7</v>
      </c>
      <c r="I9" s="101"/>
      <c r="J9" s="104">
        <v>4412.5</v>
      </c>
      <c r="K9" s="104"/>
      <c r="N9" s="40"/>
    </row>
    <row r="10" spans="1:14" ht="12.75" customHeight="1" x14ac:dyDescent="0.2">
      <c r="B10" s="5"/>
      <c r="C10" s="5"/>
      <c r="D10" s="99"/>
      <c r="E10" s="99"/>
      <c r="F10" s="100" t="s">
        <v>8</v>
      </c>
      <c r="G10" s="100"/>
      <c r="H10" s="110" t="str">
        <f>+B5</f>
        <v>Febrero</v>
      </c>
      <c r="I10" s="110"/>
      <c r="J10" s="104">
        <f>+AVERAGE(J7:K8)</f>
        <v>4406.7199999999993</v>
      </c>
      <c r="K10" s="100"/>
      <c r="L10" s="77"/>
    </row>
    <row r="11" spans="1:14" x14ac:dyDescent="0.2">
      <c r="B11" s="4"/>
    </row>
    <row r="12" spans="1:14" s="6" customFormat="1" ht="12.75" customHeight="1" x14ac:dyDescent="0.25">
      <c r="B12" s="105" t="s">
        <v>9</v>
      </c>
      <c r="D12" s="107" t="s">
        <v>10</v>
      </c>
      <c r="E12" s="108"/>
      <c r="F12" s="108"/>
      <c r="G12" s="108"/>
      <c r="H12" s="109"/>
      <c r="I12" s="7"/>
      <c r="J12" s="107" t="s">
        <v>11</v>
      </c>
      <c r="K12" s="108"/>
      <c r="L12" s="108"/>
      <c r="M12" s="108"/>
      <c r="N12" s="109"/>
    </row>
    <row r="13" spans="1:14" s="6" customFormat="1" ht="12.75" customHeight="1" x14ac:dyDescent="0.25">
      <c r="B13" s="106"/>
      <c r="D13" s="8" t="s">
        <v>12</v>
      </c>
      <c r="F13" s="8" t="s">
        <v>13</v>
      </c>
      <c r="H13" s="8" t="s">
        <v>14</v>
      </c>
      <c r="J13" s="8" t="s">
        <v>12</v>
      </c>
      <c r="L13" s="8" t="s">
        <v>13</v>
      </c>
      <c r="N13" s="8" t="s">
        <v>14</v>
      </c>
    </row>
    <row r="14" spans="1:14" ht="14.25" customHeight="1" x14ac:dyDescent="0.2">
      <c r="B14" s="9" t="s">
        <v>15</v>
      </c>
      <c r="D14" s="84">
        <v>1852016.7425770001</v>
      </c>
      <c r="E14" s="85"/>
      <c r="F14" s="84">
        <v>16510850.760423001</v>
      </c>
      <c r="G14" s="84"/>
      <c r="H14" s="84">
        <v>18362867.513000004</v>
      </c>
      <c r="I14" s="19"/>
      <c r="J14" s="64">
        <f>+D14/$J$8</f>
        <v>424.13536083859879</v>
      </c>
      <c r="K14" s="19"/>
      <c r="L14" s="64">
        <f>+F14/$J$8</f>
        <v>3781.1945669994989</v>
      </c>
      <c r="M14" s="19"/>
      <c r="N14" s="65">
        <f>+J14+L14</f>
        <v>4205.3299278380973</v>
      </c>
    </row>
    <row r="15" spans="1:14" ht="14.25" customHeight="1" x14ac:dyDescent="0.2">
      <c r="B15" s="11" t="s">
        <v>16</v>
      </c>
      <c r="D15" s="89">
        <v>-680864.64</v>
      </c>
      <c r="E15" s="6"/>
      <c r="F15" s="62">
        <v>-7326232.8930000002</v>
      </c>
      <c r="G15" s="90"/>
      <c r="H15" s="62">
        <f>+D15+F15</f>
        <v>-8007097.5329999998</v>
      </c>
      <c r="I15" s="10"/>
      <c r="J15" s="24">
        <f>+D15/$J$10</f>
        <v>-154.5059908503377</v>
      </c>
      <c r="K15" s="32"/>
      <c r="L15" s="24">
        <f>+F15/$J$10</f>
        <v>-1662.5138182140008</v>
      </c>
      <c r="M15" s="32"/>
      <c r="N15" s="24">
        <f>+J15+L15</f>
        <v>-1817.0198090643385</v>
      </c>
    </row>
    <row r="16" spans="1:14" ht="14.25" customHeight="1" x14ac:dyDescent="0.2">
      <c r="B16" s="11" t="s">
        <v>17</v>
      </c>
      <c r="D16" s="37"/>
      <c r="E16" s="36"/>
      <c r="F16" s="62">
        <v>5333780.3799999952</v>
      </c>
      <c r="G16" s="91"/>
      <c r="H16" s="89">
        <f>F16</f>
        <v>5333780.3799999952</v>
      </c>
      <c r="I16" s="10"/>
      <c r="J16" s="24">
        <f>+D16/$J$10</f>
        <v>0</v>
      </c>
      <c r="K16" s="32"/>
      <c r="L16" s="24">
        <f>+F16/$J$10</f>
        <v>1210.3742420666608</v>
      </c>
      <c r="M16" s="32"/>
      <c r="N16" s="24">
        <f>+J16+L16</f>
        <v>1210.3742420666608</v>
      </c>
    </row>
    <row r="17" spans="2:14" ht="14.25" customHeight="1" x14ac:dyDescent="0.2">
      <c r="B17" s="11" t="s">
        <v>18</v>
      </c>
      <c r="D17" s="62">
        <v>664563.7037950001</v>
      </c>
      <c r="E17" s="63"/>
      <c r="F17" s="62">
        <f>-D17</f>
        <v>-664563.7037950001</v>
      </c>
      <c r="G17" s="10"/>
      <c r="H17" s="89">
        <f>+D17+F17</f>
        <v>0</v>
      </c>
      <c r="I17" s="10"/>
      <c r="J17" s="24">
        <f>+D17/$J$7</f>
        <v>149.44527359581011</v>
      </c>
      <c r="K17" s="32"/>
      <c r="L17" s="24">
        <f>+F17/$J$7</f>
        <v>-149.44527359581011</v>
      </c>
      <c r="M17" s="32"/>
      <c r="N17" s="24">
        <f t="shared" ref="N17:N20" si="0">+J17+L17</f>
        <v>0</v>
      </c>
    </row>
    <row r="18" spans="2:14" ht="14.25" customHeight="1" x14ac:dyDescent="0.2">
      <c r="B18" s="11" t="s">
        <v>19</v>
      </c>
      <c r="D18" s="37"/>
      <c r="E18" s="36"/>
      <c r="F18" s="37"/>
      <c r="G18" s="10"/>
      <c r="H18" s="12">
        <f>SUM(D18:F18)</f>
        <v>0</v>
      </c>
      <c r="I18" s="10"/>
      <c r="J18" s="24">
        <f>+D18/$J$10</f>
        <v>0</v>
      </c>
      <c r="K18" s="32"/>
      <c r="L18" s="24">
        <f>+F18/$J$10</f>
        <v>0</v>
      </c>
      <c r="M18" s="32"/>
      <c r="N18" s="24">
        <f t="shared" si="0"/>
        <v>0</v>
      </c>
    </row>
    <row r="19" spans="2:14" ht="14.25" customHeight="1" x14ac:dyDescent="0.2">
      <c r="B19" s="14" t="s">
        <v>20</v>
      </c>
      <c r="D19" s="13"/>
      <c r="E19" s="10"/>
      <c r="F19" s="13"/>
      <c r="G19" s="10"/>
      <c r="H19" s="12">
        <f>SUM(D19:F19)</f>
        <v>0</v>
      </c>
      <c r="I19" s="10"/>
      <c r="J19" s="24">
        <f>+D19/$J$10</f>
        <v>0</v>
      </c>
      <c r="K19" s="33"/>
      <c r="L19" s="24">
        <f>+F19/$J$10</f>
        <v>0</v>
      </c>
      <c r="M19" s="33"/>
      <c r="N19" s="24">
        <f t="shared" si="0"/>
        <v>0</v>
      </c>
    </row>
    <row r="20" spans="2:14" ht="14.25" customHeight="1" x14ac:dyDescent="0.2">
      <c r="B20" s="14" t="s">
        <v>21</v>
      </c>
      <c r="D20" s="16"/>
      <c r="E20" s="10"/>
      <c r="F20" s="16"/>
      <c r="G20" s="10"/>
      <c r="H20" s="16">
        <f>+D20+F20</f>
        <v>0</v>
      </c>
      <c r="I20" s="10"/>
      <c r="J20" s="24">
        <f>+J22-SUM(J14:J19)</f>
        <v>-6.2638786253473882</v>
      </c>
      <c r="K20" s="33"/>
      <c r="L20" s="24">
        <f>+L22-SUM(L14:L19)</f>
        <v>-64.197181331530373</v>
      </c>
      <c r="M20" s="33"/>
      <c r="N20" s="24">
        <f t="shared" si="0"/>
        <v>-70.461059956877762</v>
      </c>
    </row>
    <row r="21" spans="2:14" ht="14.25" customHeight="1" x14ac:dyDescent="0.2">
      <c r="B21" s="11" t="s">
        <v>22</v>
      </c>
      <c r="D21" s="12">
        <f>SUM(D19:D20)</f>
        <v>0</v>
      </c>
      <c r="E21" s="10"/>
      <c r="F21" s="12">
        <f>SUM(F19:F20)</f>
        <v>0</v>
      </c>
      <c r="G21" s="10"/>
      <c r="H21" s="12">
        <f>SUM(H19:H20)</f>
        <v>0</v>
      </c>
      <c r="I21" s="10"/>
      <c r="J21" s="24">
        <f>SUM(J19:J20)</f>
        <v>-6.2638786253473882</v>
      </c>
      <c r="K21" s="32"/>
      <c r="L21" s="24">
        <f>SUM(L19:L20)</f>
        <v>-64.197181331530373</v>
      </c>
      <c r="M21" s="32"/>
      <c r="N21" s="24">
        <f>SUM(N19:N20)</f>
        <v>-70.461059956877762</v>
      </c>
    </row>
    <row r="22" spans="2:14" ht="14.25" customHeight="1" x14ac:dyDescent="0.2">
      <c r="B22" s="17" t="s">
        <v>23</v>
      </c>
      <c r="D22" s="86">
        <f>SUM(D14:D17)</f>
        <v>1835715.8063719999</v>
      </c>
      <c r="E22" s="87"/>
      <c r="F22" s="86">
        <f>SUM(F14:F18)</f>
        <v>13853834.543627996</v>
      </c>
      <c r="G22" s="88"/>
      <c r="H22" s="86">
        <f>SUM(H14:H18,H21)</f>
        <v>15689550.359999999</v>
      </c>
      <c r="I22" s="10"/>
      <c r="J22" s="34">
        <f>+D22/$J$7</f>
        <v>412.81076495872378</v>
      </c>
      <c r="K22" s="32"/>
      <c r="L22" s="34">
        <f>+F22/$J$7</f>
        <v>3115.4125359248183</v>
      </c>
      <c r="M22" s="32"/>
      <c r="N22" s="18">
        <f>SUM(N14:N18,N21)</f>
        <v>3528.2233008835419</v>
      </c>
    </row>
    <row r="23" spans="2:14" ht="14.25" customHeight="1" x14ac:dyDescent="0.2">
      <c r="B23" s="11" t="s">
        <v>24</v>
      </c>
      <c r="D23" s="21">
        <v>-205147.81200000001</v>
      </c>
      <c r="E23" s="10"/>
      <c r="F23" s="13">
        <v>0</v>
      </c>
      <c r="G23" s="10"/>
      <c r="H23" s="21">
        <v>-205147.81200000012</v>
      </c>
      <c r="I23" s="10"/>
      <c r="J23" s="24">
        <f>+D23/$J$8</f>
        <v>-46.981455009309371</v>
      </c>
      <c r="K23" s="32"/>
      <c r="L23" s="24">
        <f>+F23/$J$8</f>
        <v>0</v>
      </c>
      <c r="M23" s="32"/>
      <c r="N23" s="41">
        <f>+J23+L23</f>
        <v>-46.981455009309371</v>
      </c>
    </row>
    <row r="24" spans="2:14" ht="14.25" customHeight="1" x14ac:dyDescent="0.2">
      <c r="B24" s="11" t="s">
        <v>25</v>
      </c>
      <c r="D24" s="23">
        <v>-28667.695999999996</v>
      </c>
      <c r="E24" s="10"/>
      <c r="F24" s="13"/>
      <c r="G24" s="10"/>
      <c r="H24" s="21">
        <f>D24</f>
        <v>-28667.695999999996</v>
      </c>
      <c r="I24" s="10"/>
      <c r="J24" s="24">
        <f>+D24/$J$10</f>
        <v>-6.5054498583980829</v>
      </c>
      <c r="K24" s="32"/>
      <c r="L24" s="24">
        <f>+F24/$J$10</f>
        <v>0</v>
      </c>
      <c r="M24" s="32"/>
      <c r="N24" s="24">
        <f>+J24+L24</f>
        <v>-6.5054498583980829</v>
      </c>
    </row>
    <row r="25" spans="2:14" ht="14.25" customHeight="1" x14ac:dyDescent="0.2">
      <c r="B25" s="11" t="s">
        <v>26</v>
      </c>
      <c r="D25" s="13"/>
      <c r="E25" s="10"/>
      <c r="F25" s="13"/>
      <c r="G25" s="10"/>
      <c r="H25" s="21">
        <f>+D25+F25</f>
        <v>0</v>
      </c>
      <c r="I25" s="10"/>
      <c r="J25" s="24">
        <f>+D25/$J$10</f>
        <v>0</v>
      </c>
      <c r="K25" s="32"/>
      <c r="L25" s="24">
        <f>+F25/$J$10</f>
        <v>0</v>
      </c>
      <c r="M25" s="32"/>
      <c r="N25" s="24">
        <f>+J25+L25</f>
        <v>0</v>
      </c>
    </row>
    <row r="26" spans="2:14" ht="14.25" customHeight="1" x14ac:dyDescent="0.2">
      <c r="B26" s="14" t="s">
        <v>20</v>
      </c>
      <c r="D26" s="13"/>
      <c r="E26" s="10"/>
      <c r="F26" s="13"/>
      <c r="G26" s="10"/>
      <c r="H26" s="12">
        <f>+D26+F26</f>
        <v>0</v>
      </c>
      <c r="I26" s="15"/>
      <c r="J26" s="24">
        <f>+D26/$J$10</f>
        <v>0</v>
      </c>
      <c r="K26" s="33"/>
      <c r="L26" s="24">
        <f>+F26/$J$10</f>
        <v>0</v>
      </c>
      <c r="M26" s="33"/>
      <c r="N26" s="24">
        <f>+J26+L26</f>
        <v>0</v>
      </c>
    </row>
    <row r="27" spans="2:14" ht="14.25" customHeight="1" x14ac:dyDescent="0.2">
      <c r="B27" s="14" t="s">
        <v>21</v>
      </c>
      <c r="D27" s="16"/>
      <c r="E27" s="10"/>
      <c r="F27" s="16"/>
      <c r="G27" s="10"/>
      <c r="H27" s="25">
        <f>+D27+F27</f>
        <v>0</v>
      </c>
      <c r="I27" s="15"/>
      <c r="J27" s="24">
        <f>+J29-SUM(J23:J26)</f>
        <v>0.90711099021608987</v>
      </c>
      <c r="K27" s="33"/>
      <c r="L27" s="24">
        <f>+L29-SUM(L23:L26)</f>
        <v>0</v>
      </c>
      <c r="M27" s="33"/>
      <c r="N27" s="24">
        <f>+J27+L27</f>
        <v>0.90711099021608987</v>
      </c>
    </row>
    <row r="28" spans="2:14" ht="14.25" customHeight="1" x14ac:dyDescent="0.2">
      <c r="B28" s="11" t="s">
        <v>22</v>
      </c>
      <c r="D28" s="12">
        <f>SUM(D26:D27)</f>
        <v>0</v>
      </c>
      <c r="E28" s="10"/>
      <c r="F28" s="12">
        <f>SUM(F26:F27)</f>
        <v>0</v>
      </c>
      <c r="G28" s="10"/>
      <c r="H28" s="12">
        <f>SUM(H26:H27)</f>
        <v>0</v>
      </c>
      <c r="I28" s="10"/>
      <c r="J28" s="24">
        <f>SUM(J26:J27)</f>
        <v>0.90711099021608987</v>
      </c>
      <c r="K28" s="32"/>
      <c r="L28" s="24">
        <f>SUM(L26:L27)</f>
        <v>0</v>
      </c>
      <c r="M28" s="32"/>
      <c r="N28" s="24">
        <f>SUM(N26:N27)</f>
        <v>0.90711099021608987</v>
      </c>
    </row>
    <row r="29" spans="2:14" ht="14.25" customHeight="1" x14ac:dyDescent="0.2">
      <c r="B29" s="26" t="s">
        <v>27</v>
      </c>
      <c r="D29" s="18">
        <f>SUM(D23:D25,D28)</f>
        <v>-233815.508</v>
      </c>
      <c r="E29" s="19"/>
      <c r="F29" s="18">
        <f>SUM(F23:F25,F28)</f>
        <v>0</v>
      </c>
      <c r="G29" s="19"/>
      <c r="H29" s="18">
        <f>SUM(H23:H25,H28)</f>
        <v>-233815.50800000012</v>
      </c>
      <c r="I29" s="10"/>
      <c r="J29" s="35">
        <f>+D29/$J$7</f>
        <v>-52.579793877491362</v>
      </c>
      <c r="K29" s="32"/>
      <c r="L29" s="34">
        <f>+F29/$J$7</f>
        <v>0</v>
      </c>
      <c r="M29" s="32"/>
      <c r="N29" s="35">
        <f>SUM(N23:N25,N28)</f>
        <v>-52.579793877491362</v>
      </c>
    </row>
    <row r="30" spans="2:14" ht="17.25" customHeight="1" x14ac:dyDescent="0.2">
      <c r="B30" s="27" t="s">
        <v>28</v>
      </c>
      <c r="D30" s="71">
        <f>+D22+D29</f>
        <v>1601900.298372</v>
      </c>
      <c r="E30" s="19"/>
      <c r="F30" s="71">
        <f>+F22+F29</f>
        <v>13853834.543627996</v>
      </c>
      <c r="G30" s="19"/>
      <c r="H30" s="71">
        <f>+H22+H29</f>
        <v>15455734.852</v>
      </c>
      <c r="I30" s="10"/>
      <c r="J30" s="28">
        <f>+J22+J29</f>
        <v>360.23097108123244</v>
      </c>
      <c r="K30" s="10"/>
      <c r="L30" s="28">
        <f>+L22+L29</f>
        <v>3115.4125359248183</v>
      </c>
      <c r="M30" s="10"/>
      <c r="N30" s="42">
        <f>+N22+N29</f>
        <v>3475.6435070060506</v>
      </c>
    </row>
    <row r="31" spans="2:14" ht="13.5" customHeight="1" x14ac:dyDescent="0.2">
      <c r="B31" s="29"/>
      <c r="D31" s="30"/>
      <c r="F31" s="30"/>
      <c r="H31" s="44"/>
    </row>
    <row r="32" spans="2:14" ht="13.5" customHeight="1" x14ac:dyDescent="0.2">
      <c r="H32" s="45"/>
    </row>
    <row r="33" spans="2:14" s="6" customFormat="1" ht="12.75" customHeight="1" x14ac:dyDescent="0.25">
      <c r="B33" s="105" t="s">
        <v>29</v>
      </c>
      <c r="D33" s="107" t="s">
        <v>10</v>
      </c>
      <c r="E33" s="108"/>
      <c r="F33" s="108"/>
      <c r="G33" s="108"/>
      <c r="H33" s="109"/>
      <c r="I33" s="7"/>
      <c r="J33" s="107" t="s">
        <v>11</v>
      </c>
      <c r="K33" s="108"/>
      <c r="L33" s="108"/>
      <c r="M33" s="108"/>
      <c r="N33" s="109"/>
    </row>
    <row r="34" spans="2:14" s="6" customFormat="1" ht="12.75" customHeight="1" x14ac:dyDescent="0.25">
      <c r="B34" s="106"/>
      <c r="D34" s="8" t="s">
        <v>12</v>
      </c>
      <c r="F34" s="8" t="s">
        <v>13</v>
      </c>
      <c r="H34" s="8" t="s">
        <v>14</v>
      </c>
      <c r="J34" s="8" t="s">
        <v>12</v>
      </c>
      <c r="L34" s="8" t="s">
        <v>13</v>
      </c>
      <c r="N34" s="8" t="s">
        <v>14</v>
      </c>
    </row>
    <row r="35" spans="2:14" ht="14.25" customHeight="1" x14ac:dyDescent="0.2">
      <c r="B35" s="48" t="s">
        <v>30</v>
      </c>
      <c r="D35" s="47">
        <v>1628964.5416799001</v>
      </c>
      <c r="E35" s="47"/>
      <c r="F35" s="47">
        <v>16159180.314169524</v>
      </c>
      <c r="G35" s="19"/>
      <c r="H35" s="47">
        <v>17788144.85584943</v>
      </c>
      <c r="I35" s="10"/>
      <c r="J35" s="49">
        <f>+D35/$J$9</f>
        <v>369.17043437504822</v>
      </c>
      <c r="K35" s="10"/>
      <c r="L35" s="49">
        <f>+F35/$J$9</f>
        <v>3662.1371816814785</v>
      </c>
      <c r="M35" s="10"/>
      <c r="N35" s="43">
        <f>+J35+L35</f>
        <v>4031.307616056527</v>
      </c>
    </row>
    <row r="36" spans="2:14" ht="14.25" customHeight="1" x14ac:dyDescent="0.2">
      <c r="B36" s="11" t="s">
        <v>31</v>
      </c>
      <c r="D36" s="23">
        <v>-1137960.74</v>
      </c>
      <c r="E36" s="67">
        <v>0</v>
      </c>
      <c r="F36" s="68">
        <v>-12080363.859999999</v>
      </c>
      <c r="G36" s="67"/>
      <c r="H36" s="68">
        <f>+D36+F36</f>
        <v>-13218324.6</v>
      </c>
      <c r="I36" s="10"/>
      <c r="J36" s="12">
        <f>+D36/$J$7</f>
        <v>-255.90150825187155</v>
      </c>
      <c r="K36" s="10"/>
      <c r="L36" s="12">
        <f>+F36/$J$7</f>
        <v>-2716.5992844405164</v>
      </c>
      <c r="M36" s="10"/>
      <c r="N36" s="22">
        <f t="shared" ref="N36:N41" si="1">+J36+L36</f>
        <v>-2972.5007926923881</v>
      </c>
    </row>
    <row r="37" spans="2:14" ht="14.25" customHeight="1" x14ac:dyDescent="0.2">
      <c r="B37" s="11" t="s">
        <v>32</v>
      </c>
      <c r="D37" s="69">
        <v>0</v>
      </c>
      <c r="E37" s="67">
        <v>0</v>
      </c>
      <c r="F37" s="70">
        <v>11119730.109999996</v>
      </c>
      <c r="G37" s="70"/>
      <c r="H37" s="70">
        <f>+D37+F37</f>
        <v>11119730.109999996</v>
      </c>
      <c r="I37" s="10"/>
      <c r="J37" s="12">
        <f>+D37/$J$7</f>
        <v>0</v>
      </c>
      <c r="K37" s="10"/>
      <c r="L37" s="12">
        <f>+F37/$J$7</f>
        <v>2500.5745861695968</v>
      </c>
      <c r="M37" s="10"/>
      <c r="N37" s="22">
        <f t="shared" si="1"/>
        <v>2500.5745861695968</v>
      </c>
    </row>
    <row r="38" spans="2:14" ht="14.25" customHeight="1" x14ac:dyDescent="0.2">
      <c r="B38" s="11" t="s">
        <v>33</v>
      </c>
      <c r="D38" s="68">
        <v>1344712.0063720001</v>
      </c>
      <c r="E38" s="70">
        <v>0</v>
      </c>
      <c r="F38" s="68">
        <v>-1344712.0063720001</v>
      </c>
      <c r="G38" s="67"/>
      <c r="H38" s="69"/>
      <c r="I38" s="10"/>
      <c r="J38" s="12">
        <f>+D38/$J$7</f>
        <v>302.39516927007088</v>
      </c>
      <c r="K38" s="10"/>
      <c r="L38" s="12">
        <f>+F38/$J$7</f>
        <v>-302.39516927007088</v>
      </c>
      <c r="M38" s="10"/>
      <c r="N38" s="22">
        <f t="shared" si="1"/>
        <v>0</v>
      </c>
    </row>
    <row r="39" spans="2:14" ht="14.25" customHeight="1" x14ac:dyDescent="0.2">
      <c r="B39" s="11" t="s">
        <v>19</v>
      </c>
      <c r="D39" s="13"/>
      <c r="E39" s="10"/>
      <c r="F39" s="13"/>
      <c r="G39" s="10"/>
      <c r="H39" s="12">
        <v>0</v>
      </c>
      <c r="I39" s="10"/>
      <c r="J39" s="12">
        <f>+D39/$J$7</f>
        <v>0</v>
      </c>
      <c r="K39" s="10"/>
      <c r="L39" s="12">
        <f>+F39/$J$7</f>
        <v>0</v>
      </c>
      <c r="M39" s="10"/>
      <c r="N39" s="22">
        <f t="shared" si="1"/>
        <v>0</v>
      </c>
    </row>
    <row r="40" spans="2:14" ht="14.25" customHeight="1" x14ac:dyDescent="0.2">
      <c r="B40" s="14" t="s">
        <v>20</v>
      </c>
      <c r="D40" s="13"/>
      <c r="E40" s="10"/>
      <c r="F40" s="13"/>
      <c r="G40" s="10"/>
      <c r="H40" s="12">
        <v>0</v>
      </c>
      <c r="I40" s="10"/>
      <c r="J40" s="12">
        <f>+D40/$J$7</f>
        <v>0</v>
      </c>
      <c r="K40" s="15"/>
      <c r="L40" s="12">
        <f>+F40/$J$7</f>
        <v>0</v>
      </c>
      <c r="M40" s="15"/>
      <c r="N40" s="22">
        <f t="shared" si="1"/>
        <v>0</v>
      </c>
    </row>
    <row r="41" spans="2:14" ht="14.25" customHeight="1" x14ac:dyDescent="0.2">
      <c r="B41" s="14" t="s">
        <v>21</v>
      </c>
      <c r="D41" s="16"/>
      <c r="E41" s="10"/>
      <c r="F41" s="16"/>
      <c r="G41" s="10"/>
      <c r="H41" s="25">
        <f>+D41+F41</f>
        <v>0</v>
      </c>
      <c r="I41" s="10"/>
      <c r="J41" s="12">
        <f>+J43-SUM(J35:J40)</f>
        <v>-2.853330056752327</v>
      </c>
      <c r="K41" s="15"/>
      <c r="L41" s="12">
        <f>+L43-SUM(L35:L40)</f>
        <v>-28.304775029265784</v>
      </c>
      <c r="M41" s="15"/>
      <c r="N41" s="22">
        <f t="shared" si="1"/>
        <v>-31.158105086018111</v>
      </c>
    </row>
    <row r="42" spans="2:14" ht="14.25" customHeight="1" x14ac:dyDescent="0.2">
      <c r="B42" s="11" t="s">
        <v>22</v>
      </c>
      <c r="D42" s="12">
        <f>SUM(D40:D41)</f>
        <v>0</v>
      </c>
      <c r="E42" s="10"/>
      <c r="F42" s="12">
        <f>SUM(F40:F41)</f>
        <v>0</v>
      </c>
      <c r="G42" s="10"/>
      <c r="H42" s="12">
        <f>SUM(H40:H41)</f>
        <v>0</v>
      </c>
      <c r="I42" s="10"/>
      <c r="J42" s="12">
        <f>SUM(J40:J41)</f>
        <v>-2.853330056752327</v>
      </c>
      <c r="K42" s="10"/>
      <c r="L42" s="12">
        <f>SUM(L40:L41)</f>
        <v>-28.304775029265784</v>
      </c>
      <c r="M42" s="10"/>
      <c r="N42" s="22">
        <f>SUM(N40:N41)</f>
        <v>-31.158105086018111</v>
      </c>
    </row>
    <row r="43" spans="2:14" ht="14.25" customHeight="1" x14ac:dyDescent="0.2">
      <c r="B43" s="17" t="s">
        <v>23</v>
      </c>
      <c r="D43" s="18">
        <f>SUM(D35:D39,D42)</f>
        <v>1835715.8080519002</v>
      </c>
      <c r="E43" s="19"/>
      <c r="F43" s="18">
        <f>SUM(F35:F39,F42)</f>
        <v>13853834.557797521</v>
      </c>
      <c r="G43" s="19"/>
      <c r="H43" s="18">
        <f>SUM(H35:H39,H42)</f>
        <v>15689550.365849426</v>
      </c>
      <c r="I43" s="10"/>
      <c r="J43" s="20">
        <f>+D43/$J$7</f>
        <v>412.81076533649519</v>
      </c>
      <c r="K43" s="10"/>
      <c r="L43" s="20">
        <f>+F43/$J$7</f>
        <v>3115.4125391112225</v>
      </c>
      <c r="M43" s="10"/>
      <c r="N43" s="31">
        <f>SUM(N35:N39,N42)</f>
        <v>3528.2233044477175</v>
      </c>
    </row>
    <row r="44" spans="2:14" ht="14.25" customHeight="1" x14ac:dyDescent="0.2">
      <c r="B44" s="11" t="s">
        <v>24</v>
      </c>
      <c r="D44" s="21">
        <v>-251991.82500000042</v>
      </c>
      <c r="E44" s="10"/>
      <c r="F44" s="13">
        <v>0</v>
      </c>
      <c r="G44" s="10"/>
      <c r="H44" s="21">
        <v>-251991.82100000023</v>
      </c>
      <c r="I44" s="10"/>
      <c r="J44" s="12">
        <f>+D44/$J$9</f>
        <v>-57.108628895184232</v>
      </c>
      <c r="K44" s="10"/>
      <c r="L44" s="12">
        <f>+F44/$J$9</f>
        <v>0</v>
      </c>
      <c r="M44" s="10"/>
      <c r="N44" s="22">
        <f>+J44+L44</f>
        <v>-57.108628895184232</v>
      </c>
    </row>
    <row r="45" spans="2:14" ht="14.25" customHeight="1" x14ac:dyDescent="0.2">
      <c r="B45" s="11" t="s">
        <v>34</v>
      </c>
      <c r="D45" s="24">
        <v>-28667.695999999996</v>
      </c>
      <c r="E45" s="10"/>
      <c r="F45" s="13"/>
      <c r="G45" s="10"/>
      <c r="H45" s="53">
        <f>D45</f>
        <v>-28667.695999999996</v>
      </c>
      <c r="I45" s="10"/>
      <c r="J45" s="12">
        <f>+D45/$J$7</f>
        <v>-6.4467133062131339</v>
      </c>
      <c r="K45" s="10"/>
      <c r="L45" s="12">
        <f>+F45/$J$7</f>
        <v>0</v>
      </c>
      <c r="M45" s="10"/>
      <c r="N45" s="22">
        <f>+J45+L45</f>
        <v>-6.4467133062131339</v>
      </c>
    </row>
    <row r="46" spans="2:14" ht="14.25" customHeight="1" x14ac:dyDescent="0.2">
      <c r="B46" s="11" t="s">
        <v>26</v>
      </c>
      <c r="D46" s="21">
        <v>46844.008000000293</v>
      </c>
      <c r="E46" s="10"/>
      <c r="F46" s="13"/>
      <c r="G46" s="10"/>
      <c r="H46" s="22">
        <f>+D46+F46</f>
        <v>46844.008000000293</v>
      </c>
      <c r="I46" s="10"/>
      <c r="J46" s="12">
        <f>+D46/$J$7</f>
        <v>10.534152786117042</v>
      </c>
      <c r="K46" s="10"/>
      <c r="L46" s="12">
        <f>+F46/$J$7</f>
        <v>0</v>
      </c>
      <c r="M46" s="10"/>
      <c r="N46" s="22">
        <f>+J46+L46</f>
        <v>10.534152786117042</v>
      </c>
    </row>
    <row r="47" spans="2:14" ht="14.25" customHeight="1" x14ac:dyDescent="0.2">
      <c r="B47" s="14" t="s">
        <v>20</v>
      </c>
      <c r="D47" s="13"/>
      <c r="E47" s="10"/>
      <c r="F47" s="13"/>
      <c r="G47" s="10"/>
      <c r="H47" s="12">
        <f>+D47+F47</f>
        <v>0</v>
      </c>
      <c r="I47" s="10"/>
      <c r="J47" s="12">
        <f>+D47/$J$7</f>
        <v>0</v>
      </c>
      <c r="K47" s="15"/>
      <c r="L47" s="12">
        <f>+F47/$J$7</f>
        <v>0</v>
      </c>
      <c r="M47" s="15"/>
      <c r="N47" s="22">
        <f>+J47+L47</f>
        <v>0</v>
      </c>
    </row>
    <row r="48" spans="2:14" ht="14.25" customHeight="1" x14ac:dyDescent="0.2">
      <c r="B48" s="14" t="s">
        <v>21</v>
      </c>
      <c r="D48" s="16"/>
      <c r="E48" s="10"/>
      <c r="F48" s="16"/>
      <c r="G48" s="10"/>
      <c r="H48" s="25">
        <f>+D48+F48</f>
        <v>0</v>
      </c>
      <c r="I48" s="10"/>
      <c r="J48" s="12">
        <f>+J50-SUM(J44:J47)</f>
        <v>0.4413944134025698</v>
      </c>
      <c r="K48" s="15"/>
      <c r="L48" s="12">
        <f>+L50-SUM(L44:L47)</f>
        <v>0</v>
      </c>
      <c r="M48" s="15"/>
      <c r="N48" s="22">
        <f>+J48+L48</f>
        <v>0.4413944134025698</v>
      </c>
    </row>
    <row r="49" spans="2:14" ht="14.25" customHeight="1" x14ac:dyDescent="0.2">
      <c r="B49" s="11" t="s">
        <v>22</v>
      </c>
      <c r="D49" s="12">
        <f>SUM(D47:D48)</f>
        <v>0</v>
      </c>
      <c r="E49" s="10"/>
      <c r="F49" s="12">
        <f>SUM(F47:F48)</f>
        <v>0</v>
      </c>
      <c r="G49" s="10"/>
      <c r="H49" s="12">
        <f>SUM(H47:H48)</f>
        <v>0</v>
      </c>
      <c r="I49" s="10"/>
      <c r="J49" s="12">
        <f>SUM(J47:J48)</f>
        <v>0.4413944134025698</v>
      </c>
      <c r="K49" s="10"/>
      <c r="L49" s="12">
        <f>SUM(L47:L48)</f>
        <v>0</v>
      </c>
      <c r="M49" s="10"/>
      <c r="N49" s="22">
        <f>SUM(N47:N48)</f>
        <v>0.4413944134025698</v>
      </c>
    </row>
    <row r="50" spans="2:14" ht="14.25" customHeight="1" x14ac:dyDescent="0.2">
      <c r="B50" s="26" t="s">
        <v>27</v>
      </c>
      <c r="D50" s="18">
        <f>SUM(D44:D46,D49)</f>
        <v>-233815.51300000012</v>
      </c>
      <c r="E50" s="10"/>
      <c r="F50" s="20">
        <f>SUM(F44:F46,F49)</f>
        <v>0</v>
      </c>
      <c r="G50" s="10"/>
      <c r="H50" s="31">
        <f>SUM(H44:H46,H49)</f>
        <v>-233815.50899999993</v>
      </c>
      <c r="I50" s="10"/>
      <c r="J50" s="34">
        <f>+D50/$J$7</f>
        <v>-52.579795001877756</v>
      </c>
      <c r="K50" s="10"/>
      <c r="L50" s="20">
        <f>+F50/$J$7</f>
        <v>0</v>
      </c>
      <c r="M50" s="10"/>
      <c r="N50" s="50">
        <f>SUM(N44:N46,N49)</f>
        <v>-52.579795001877756</v>
      </c>
    </row>
    <row r="51" spans="2:14" ht="14.25" customHeight="1" x14ac:dyDescent="0.2">
      <c r="B51" s="27" t="s">
        <v>28</v>
      </c>
      <c r="D51" s="46">
        <f>+D43+D50</f>
        <v>1601900.2950519002</v>
      </c>
      <c r="E51" s="19"/>
      <c r="F51" s="46">
        <f>+F43+F50</f>
        <v>13853834.557797521</v>
      </c>
      <c r="G51" s="19"/>
      <c r="H51" s="46">
        <f>+H43+H50</f>
        <v>15455734.856849426</v>
      </c>
      <c r="I51" s="10"/>
      <c r="J51" s="51">
        <f>+J43+J50</f>
        <v>360.23097033461744</v>
      </c>
      <c r="K51" s="10"/>
      <c r="L51" s="51">
        <f>+L43+L50</f>
        <v>3115.4125391112225</v>
      </c>
      <c r="M51" s="10"/>
      <c r="N51" s="52">
        <f>+N43+N50</f>
        <v>3475.6435094458398</v>
      </c>
    </row>
    <row r="52" spans="2:14" x14ac:dyDescent="0.2">
      <c r="D52" s="30">
        <f>+D30-D51</f>
        <v>3.3200997859239578E-3</v>
      </c>
      <c r="E52" s="30">
        <f t="shared" ref="E52:I52" si="2">+E30-E51</f>
        <v>0</v>
      </c>
      <c r="F52" s="30">
        <f t="shared" si="2"/>
        <v>-1.4169525355100632E-2</v>
      </c>
      <c r="G52" s="30">
        <f t="shared" si="2"/>
        <v>0</v>
      </c>
      <c r="H52" s="61">
        <f t="shared" si="2"/>
        <v>-4.8494264483451843E-3</v>
      </c>
      <c r="I52" s="30">
        <f t="shared" si="2"/>
        <v>0</v>
      </c>
    </row>
    <row r="63373" spans="2:2" x14ac:dyDescent="0.2">
      <c r="B63373" s="1" t="s">
        <v>35</v>
      </c>
    </row>
    <row r="63374" spans="2:2" x14ac:dyDescent="0.2">
      <c r="B63374" s="1" t="s">
        <v>36</v>
      </c>
    </row>
    <row r="63375" spans="2:2" x14ac:dyDescent="0.2">
      <c r="B63375" s="1" t="s">
        <v>37</v>
      </c>
    </row>
    <row r="63376" spans="2:2" x14ac:dyDescent="0.2">
      <c r="B63376" s="1" t="s">
        <v>38</v>
      </c>
    </row>
    <row r="63377" spans="2:2" x14ac:dyDescent="0.2">
      <c r="B63377" s="1" t="s">
        <v>39</v>
      </c>
    </row>
    <row r="63378" spans="2:2" x14ac:dyDescent="0.2">
      <c r="B63378" s="1" t="s">
        <v>6</v>
      </c>
    </row>
    <row r="63379" spans="2:2" x14ac:dyDescent="0.2">
      <c r="B63379" s="1" t="s">
        <v>3</v>
      </c>
    </row>
    <row r="63380" spans="2:2" x14ac:dyDescent="0.2">
      <c r="B63380" s="1" t="s">
        <v>40</v>
      </c>
    </row>
    <row r="63381" spans="2:2" x14ac:dyDescent="0.2">
      <c r="B63381" s="1" t="s">
        <v>41</v>
      </c>
    </row>
    <row r="63382" spans="2:2" x14ac:dyDescent="0.2">
      <c r="B63382" s="1" t="s">
        <v>42</v>
      </c>
    </row>
    <row r="63383" spans="2:2" x14ac:dyDescent="0.2">
      <c r="B63383" s="1" t="s">
        <v>43</v>
      </c>
    </row>
    <row r="63384" spans="2:2" x14ac:dyDescent="0.2">
      <c r="B63384" s="1" t="s">
        <v>44</v>
      </c>
    </row>
  </sheetData>
  <mergeCells count="19">
    <mergeCell ref="B33:B34"/>
    <mergeCell ref="D33:H33"/>
    <mergeCell ref="J33:N33"/>
    <mergeCell ref="F10:G10"/>
    <mergeCell ref="H10:I10"/>
    <mergeCell ref="J10:K10"/>
    <mergeCell ref="B12:B13"/>
    <mergeCell ref="D12:H12"/>
    <mergeCell ref="J12:N12"/>
    <mergeCell ref="B2:N2"/>
    <mergeCell ref="B4:H4"/>
    <mergeCell ref="D7:E10"/>
    <mergeCell ref="F7:G9"/>
    <mergeCell ref="H7:I7"/>
    <mergeCell ref="J7:K7"/>
    <mergeCell ref="H8:I8"/>
    <mergeCell ref="J8:K8"/>
    <mergeCell ref="H9:I9"/>
    <mergeCell ref="J9:K9"/>
  </mergeCells>
  <dataValidations count="4">
    <dataValidation type="list" allowBlank="1" showInputMessage="1" showErrorMessage="1" sqref="ELI64225 WPY981729 WGC981729 VWG981729 VMK981729 VCO981729 USS981729 UIW981729 TZA981729 TPE981729 TFI981729 SVM981729 SLQ981729 SBU981729 RRY981729 RIC981729 QYG981729 QOK981729 QEO981729 PUS981729 PKW981729 PBA981729 ORE981729 OHI981729 NXM981729 NNQ981729 NDU981729 MTY981729 MKC981729 MAG981729 LQK981729 LGO981729 KWS981729 KMW981729 KDA981729 JTE981729 JJI981729 IZM981729 IPQ981729 IFU981729 HVY981729 HMC981729 HCG981729 GSK981729 GIO981729 FYS981729 FOW981729 FFA981729 EVE981729 ELI981729 EBM981729 DRQ981729 DHU981729 CXY981729 COC981729 CEG981729 BUK981729 BKO981729 BAS981729 AQW981729 AHA981729 XE981729 NI981729 DM981729 EBM64225 WPY916193 WGC916193 VWG916193 VMK916193 VCO916193 USS916193 UIW916193 TZA916193 TPE916193 TFI916193 SVM916193 SLQ916193 SBU916193 RRY916193 RIC916193 QYG916193 QOK916193 QEO916193 PUS916193 PKW916193 PBA916193 ORE916193 OHI916193 NXM916193 NNQ916193 NDU916193 MTY916193 MKC916193 MAG916193 LQK916193 LGO916193 KWS916193 KMW916193 KDA916193 JTE916193 JJI916193 IZM916193 IPQ916193 IFU916193 HVY916193 HMC916193 HCG916193 GSK916193 GIO916193 FYS916193 FOW916193 FFA916193 EVE916193 ELI916193 EBM916193 DRQ916193 DHU916193 CXY916193 COC916193 CEG916193 BUK916193 BKO916193 BAS916193 AQW916193 AHA916193 XE916193 NI916193 DM916193 DRQ64225 WPY850657 WGC850657 VWG850657 VMK850657 VCO850657 USS850657 UIW850657 TZA850657 TPE850657 TFI850657 SVM850657 SLQ850657 SBU850657 RRY850657 RIC850657 QYG850657 QOK850657 QEO850657 PUS850657 PKW850657 PBA850657 ORE850657 OHI850657 NXM850657 NNQ850657 NDU850657 MTY850657 MKC850657 MAG850657 LQK850657 LGO850657 KWS850657 KMW850657 KDA850657 JTE850657 JJI850657 IZM850657 IPQ850657 IFU850657 HVY850657 HMC850657 HCG850657 GSK850657 GIO850657 FYS850657 FOW850657 FFA850657 EVE850657 ELI850657 EBM850657 DRQ850657 DHU850657 CXY850657 COC850657 CEG850657 BUK850657 BKO850657 BAS850657 AQW850657 AHA850657 XE850657 NI850657 DM850657 DHU64225 WPY785121 WGC785121 VWG785121 VMK785121 VCO785121 USS785121 UIW785121 TZA785121 TPE785121 TFI785121 SVM785121 SLQ785121 SBU785121 RRY785121 RIC785121 QYG785121 QOK785121 QEO785121 PUS785121 PKW785121 PBA785121 ORE785121 OHI785121 NXM785121 NNQ785121 NDU785121 MTY785121 MKC785121 MAG785121 LQK785121 LGO785121 KWS785121 KMW785121 KDA785121 JTE785121 JJI785121 IZM785121 IPQ785121 IFU785121 HVY785121 HMC785121 HCG785121 GSK785121 GIO785121 FYS785121 FOW785121 FFA785121 EVE785121 ELI785121 EBM785121 DRQ785121 DHU785121 CXY785121 COC785121 CEG785121 BUK785121 BKO785121 BAS785121 AQW785121 AHA785121 XE785121 NI785121 DM785121 CXY64225 WPY719585 WGC719585 VWG719585 VMK719585 VCO719585 USS719585 UIW719585 TZA719585 TPE719585 TFI719585 SVM719585 SLQ719585 SBU719585 RRY719585 RIC719585 QYG719585 QOK719585 QEO719585 PUS719585 PKW719585 PBA719585 ORE719585 OHI719585 NXM719585 NNQ719585 NDU719585 MTY719585 MKC719585 MAG719585 LQK719585 LGO719585 KWS719585 KMW719585 KDA719585 JTE719585 JJI719585 IZM719585 IPQ719585 IFU719585 HVY719585 HMC719585 HCG719585 GSK719585 GIO719585 FYS719585 FOW719585 FFA719585 EVE719585 ELI719585 EBM719585 DRQ719585 DHU719585 CXY719585 COC719585 CEG719585 BUK719585 BKO719585 BAS719585 AQW719585 AHA719585 XE719585 NI719585 DM719585 COC64225 WPY654049 WGC654049 VWG654049 VMK654049 VCO654049 USS654049 UIW654049 TZA654049 TPE654049 TFI654049 SVM654049 SLQ654049 SBU654049 RRY654049 RIC654049 QYG654049 QOK654049 QEO654049 PUS654049 PKW654049 PBA654049 ORE654049 OHI654049 NXM654049 NNQ654049 NDU654049 MTY654049 MKC654049 MAG654049 LQK654049 LGO654049 KWS654049 KMW654049 KDA654049 JTE654049 JJI654049 IZM654049 IPQ654049 IFU654049 HVY654049 HMC654049 HCG654049 GSK654049 GIO654049 FYS654049 FOW654049 FFA654049 EVE654049 ELI654049 EBM654049 DRQ654049 DHU654049 CXY654049 COC654049 CEG654049 BUK654049 BKO654049 BAS654049 AQW654049 AHA654049 XE654049 NI654049 DM654049 CEG64225 WPY588513 WGC588513 VWG588513 VMK588513 VCO588513 USS588513 UIW588513 TZA588513 TPE588513 TFI588513 SVM588513 SLQ588513 SBU588513 RRY588513 RIC588513 QYG588513 QOK588513 QEO588513 PUS588513 PKW588513 PBA588513 ORE588513 OHI588513 NXM588513 NNQ588513 NDU588513 MTY588513 MKC588513 MAG588513 LQK588513 LGO588513 KWS588513 KMW588513 KDA588513 JTE588513 JJI588513 IZM588513 IPQ588513 IFU588513 HVY588513 HMC588513 HCG588513 GSK588513 GIO588513 FYS588513 FOW588513 FFA588513 EVE588513 ELI588513 EBM588513 DRQ588513 DHU588513 CXY588513 COC588513 CEG588513 BUK588513 BKO588513 BAS588513 AQW588513 AHA588513 XE588513 NI588513 DM588513 BUK64225 WPY522977 WGC522977 VWG522977 VMK522977 VCO522977 USS522977 UIW522977 TZA522977 TPE522977 TFI522977 SVM522977 SLQ522977 SBU522977 RRY522977 RIC522977 QYG522977 QOK522977 QEO522977 PUS522977 PKW522977 PBA522977 ORE522977 OHI522977 NXM522977 NNQ522977 NDU522977 MTY522977 MKC522977 MAG522977 LQK522977 LGO522977 KWS522977 KMW522977 KDA522977 JTE522977 JJI522977 IZM522977 IPQ522977 IFU522977 HVY522977 HMC522977 HCG522977 GSK522977 GIO522977 FYS522977 FOW522977 FFA522977 EVE522977 ELI522977 EBM522977 DRQ522977 DHU522977 CXY522977 COC522977 CEG522977 BUK522977 BKO522977 BAS522977 AQW522977 AHA522977 XE522977 NI522977 DM522977 BKO64225 WPY457441 WGC457441 VWG457441 VMK457441 VCO457441 USS457441 UIW457441 TZA457441 TPE457441 TFI457441 SVM457441 SLQ457441 SBU457441 RRY457441 RIC457441 QYG457441 QOK457441 QEO457441 PUS457441 PKW457441 PBA457441 ORE457441 OHI457441 NXM457441 NNQ457441 NDU457441 MTY457441 MKC457441 MAG457441 LQK457441 LGO457441 KWS457441 KMW457441 KDA457441 JTE457441 JJI457441 IZM457441 IPQ457441 IFU457441 HVY457441 HMC457441 HCG457441 GSK457441 GIO457441 FYS457441 FOW457441 FFA457441 EVE457441 ELI457441 EBM457441 DRQ457441 DHU457441 CXY457441 COC457441 CEG457441 BUK457441 BKO457441 BAS457441 AQW457441 AHA457441 XE457441 NI457441 DM457441 BAS64225 WPY391905 WGC391905 VWG391905 VMK391905 VCO391905 USS391905 UIW391905 TZA391905 TPE391905 TFI391905 SVM391905 SLQ391905 SBU391905 RRY391905 RIC391905 QYG391905 QOK391905 QEO391905 PUS391905 PKW391905 PBA391905 ORE391905 OHI391905 NXM391905 NNQ391905 NDU391905 MTY391905 MKC391905 MAG391905 LQK391905 LGO391905 KWS391905 KMW391905 KDA391905 JTE391905 JJI391905 IZM391905 IPQ391905 IFU391905 HVY391905 HMC391905 HCG391905 GSK391905 GIO391905 FYS391905 FOW391905 FFA391905 EVE391905 ELI391905 EBM391905 DRQ391905 DHU391905 CXY391905 COC391905 CEG391905 BUK391905 BKO391905 BAS391905 AQW391905 AHA391905 XE391905 NI391905 DM391905 AQW64225 WPY326369 WGC326369 VWG326369 VMK326369 VCO326369 USS326369 UIW326369 TZA326369 TPE326369 TFI326369 SVM326369 SLQ326369 SBU326369 RRY326369 RIC326369 QYG326369 QOK326369 QEO326369 PUS326369 PKW326369 PBA326369 ORE326369 OHI326369 NXM326369 NNQ326369 NDU326369 MTY326369 MKC326369 MAG326369 LQK326369 LGO326369 KWS326369 KMW326369 KDA326369 JTE326369 JJI326369 IZM326369 IPQ326369 IFU326369 HVY326369 HMC326369 HCG326369 GSK326369 GIO326369 FYS326369 FOW326369 FFA326369 EVE326369 ELI326369 EBM326369 DRQ326369 DHU326369 CXY326369 COC326369 CEG326369 BUK326369 BKO326369 BAS326369 AQW326369 AHA326369 XE326369 NI326369 DM326369 AHA64225 WPY260833 WGC260833 VWG260833 VMK260833 VCO260833 USS260833 UIW260833 TZA260833 TPE260833 TFI260833 SVM260833 SLQ260833 SBU260833 RRY260833 RIC260833 QYG260833 QOK260833 QEO260833 PUS260833 PKW260833 PBA260833 ORE260833 OHI260833 NXM260833 NNQ260833 NDU260833 MTY260833 MKC260833 MAG260833 LQK260833 LGO260833 KWS260833 KMW260833 KDA260833 JTE260833 JJI260833 IZM260833 IPQ260833 IFU260833 HVY260833 HMC260833 HCG260833 GSK260833 GIO260833 FYS260833 FOW260833 FFA260833 EVE260833 ELI260833 EBM260833 DRQ260833 DHU260833 CXY260833 COC260833 CEG260833 BUK260833 BKO260833 BAS260833 AQW260833 AHA260833 XE260833 NI260833 DM260833 XE64225 WPY195297 WGC195297 VWG195297 VMK195297 VCO195297 USS195297 UIW195297 TZA195297 TPE195297 TFI195297 SVM195297 SLQ195297 SBU195297 RRY195297 RIC195297 QYG195297 QOK195297 QEO195297 PUS195297 PKW195297 PBA195297 ORE195297 OHI195297 NXM195297 NNQ195297 NDU195297 MTY195297 MKC195297 MAG195297 LQK195297 LGO195297 KWS195297 KMW195297 KDA195297 JTE195297 JJI195297 IZM195297 IPQ195297 IFU195297 HVY195297 HMC195297 HCG195297 GSK195297 GIO195297 FYS195297 FOW195297 FFA195297 EVE195297 ELI195297 EBM195297 DRQ195297 DHU195297 CXY195297 COC195297 CEG195297 BUK195297 BKO195297 BAS195297 AQW195297 AHA195297 XE195297 NI195297 DM195297 NI64225 WPY129761 WGC129761 VWG129761 VMK129761 VCO129761 USS129761 UIW129761 TZA129761 TPE129761 TFI129761 SVM129761 SLQ129761 SBU129761 RRY129761 RIC129761 QYG129761 QOK129761 QEO129761 PUS129761 PKW129761 PBA129761 ORE129761 OHI129761 NXM129761 NNQ129761 NDU129761 MTY129761 MKC129761 MAG129761 LQK129761 LGO129761 KWS129761 KMW129761 KDA129761 JTE129761 JJI129761 IZM129761 IPQ129761 IFU129761 HVY129761 HMC129761 HCG129761 GSK129761 GIO129761 FYS129761 FOW129761 FFA129761 EVE129761 ELI129761 EBM129761 DRQ129761 DHU129761 CXY129761 COC129761 CEG129761 BUK129761 BKO129761 BAS129761 AQW129761 AHA129761 XE129761 NI129761 DM129761 DM64225 WPY64225 WGC64225 VWG64225 VMK64225 VCO64225 USS64225 UIW64225 TZA64225 TPE64225 TFI64225 SVM64225 SLQ64225 SBU64225 RRY64225 RIC64225 QYG64225 QOK64225 QEO64225 PUS64225 PKW64225 PBA64225 ORE64225 OHI64225 NXM64225 NNQ64225 NDU64225 MTY64225 MKC64225 MAG64225 LQK64225 LGO64225 KWS64225 KMW64225 KDA64225 JTE64225 JJI64225 IZM64225 IPQ64225 IFU64225 HVY64225 HMC64225 HCG64225 GSK64225 GIO64225 FYS64225 FOW64225 FFA64225 EVE64225" xr:uid="{1E2810F6-8B47-47F4-AB2A-1777D21ACE9A}">
      <formula1>$B$63284:$B$63983</formula1>
    </dataValidation>
    <dataValidation type="list" allowBlank="1" showInputMessage="1" showErrorMessage="1" sqref="DM5 FFA5 FOW5 FYS5 GIO5 GSK5 HCG5 HMC5 HVY5 IFU5 IPQ5 IZM5 JJI5 JTE5 KDA5 KMW5 KWS5 LGO5 LQK5 MAG5 MKC5 MTY5 NDU5 NNQ5 NXM5 OHI5 ORE5 PBA5 PKW5 PUS5 QEO5 QOK5 QYG5 RIC5 RRY5 SBU5 SLQ5 SVM5 TFI5 TPE5 TZA5 UIW5 USS5 VCO5 VMK5 VWG5 WGC5 WPY5 NI5 XE5 AHA5 AQW5 BAS5 BKO5 BUK5 CEG5 COC5 CXY5 DHU5 DRQ5 EBM5 ELI5 EVE5" xr:uid="{47CD9FA7-10F5-4CCB-ACBD-DA592A4486E6}">
      <formula1>$B$63455:$B$64154</formula1>
    </dataValidation>
    <dataValidation type="list" allowBlank="1" showInputMessage="1" showErrorMessage="1" sqref="B5" xr:uid="{948A1DF1-8B36-4222-A169-4FB7D24CE213}">
      <formula1>$B$63368:$B$64067</formula1>
    </dataValidation>
    <dataValidation type="list" allowBlank="1" showInputMessage="1" showErrorMessage="1" sqref="B64290 B129826 B195362 B260898 B326434 B391970 B457506 B523042 B588578 B654114 B719650 B785186 B850722 B916258 B981794" xr:uid="{9C0B34AF-31C6-4BAA-B297-1EFD012D373D}">
      <formula1>$B$63358:$B$64057</formula1>
    </dataValidation>
  </dataValidations>
  <pageMargins left="0.7" right="0.7" top="0.75" bottom="0.75" header="0.3" footer="0.3"/>
  <pageSetup scale="86"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AE22"/>
  <sheetViews>
    <sheetView zoomScale="87" zoomScaleNormal="87" workbookViewId="0">
      <pane xSplit="3" ySplit="7" topLeftCell="Q8" activePane="bottomRight" state="frozen"/>
      <selection pane="topRight" activeCell="D1" sqref="D1"/>
      <selection pane="bottomLeft" activeCell="A8" sqref="A8"/>
      <selection pane="bottomRight" activeCell="Q12" sqref="Q12"/>
    </sheetView>
  </sheetViews>
  <sheetFormatPr baseColWidth="10" defaultColWidth="11.42578125" defaultRowHeight="12.75" x14ac:dyDescent="0.2"/>
  <cols>
    <col min="1" max="1" width="8.5703125" style="56" bestFit="1" customWidth="1"/>
    <col min="2" max="2" width="38.28515625" style="56" bestFit="1" customWidth="1"/>
    <col min="3" max="3" width="18.140625" style="59" bestFit="1" customWidth="1"/>
    <col min="4" max="5" width="18.140625" style="60" bestFit="1" customWidth="1"/>
    <col min="6" max="8" width="18.140625" style="60" customWidth="1"/>
    <col min="9" max="9" width="15.140625" style="60" hidden="1" customWidth="1"/>
    <col min="10" max="10" width="17" style="60" bestFit="1" customWidth="1"/>
    <col min="11" max="11" width="15.42578125" style="60" bestFit="1" customWidth="1"/>
    <col min="12" max="12" width="18.28515625" style="60" customWidth="1"/>
    <col min="13" max="14" width="15.5703125" style="60" customWidth="1"/>
    <col min="15" max="15" width="15.85546875" style="60" bestFit="1" customWidth="1"/>
    <col min="16" max="16" width="3.7109375" style="59" customWidth="1"/>
    <col min="17" max="17" width="14.28515625" style="60" bestFit="1" customWidth="1"/>
    <col min="18" max="18" width="15.5703125" style="60" bestFit="1" customWidth="1"/>
    <col min="19" max="19" width="14.28515625" style="60" bestFit="1" customWidth="1"/>
    <col min="20" max="20" width="15" style="60" customWidth="1"/>
    <col min="21" max="21" width="10.5703125" style="60" hidden="1" customWidth="1"/>
    <col min="22" max="23" width="10.140625" style="60" hidden="1" customWidth="1"/>
    <col min="24" max="26" width="10" style="60" hidden="1" customWidth="1"/>
    <col min="27" max="27" width="11.28515625" style="60" hidden="1" customWidth="1"/>
    <col min="28" max="28" width="10" style="60" hidden="1" customWidth="1"/>
    <col min="29" max="29" width="11.85546875" style="60" hidden="1" customWidth="1"/>
    <col min="30" max="31" width="11.7109375" style="60" hidden="1" customWidth="1"/>
    <col min="32" max="16384" width="11.42578125" style="94"/>
  </cols>
  <sheetData>
    <row r="1" spans="1:31" s="92" customFormat="1" ht="15" x14ac:dyDescent="0.25">
      <c r="A1" s="79"/>
      <c r="B1" s="79"/>
      <c r="C1" s="79" t="s">
        <v>45</v>
      </c>
      <c r="D1" s="79" t="s">
        <v>45</v>
      </c>
      <c r="E1" s="79" t="s">
        <v>45</v>
      </c>
      <c r="F1" s="79" t="s">
        <v>45</v>
      </c>
      <c r="G1" s="79" t="s">
        <v>45</v>
      </c>
      <c r="H1" s="79" t="s">
        <v>45</v>
      </c>
      <c r="I1" s="79" t="s">
        <v>45</v>
      </c>
      <c r="J1" s="79" t="s">
        <v>45</v>
      </c>
      <c r="K1" s="79" t="s">
        <v>45</v>
      </c>
      <c r="L1" s="79" t="s">
        <v>45</v>
      </c>
      <c r="M1" s="79" t="s">
        <v>45</v>
      </c>
      <c r="N1" s="79" t="s">
        <v>45</v>
      </c>
      <c r="O1" s="79" t="s">
        <v>45</v>
      </c>
      <c r="P1" s="79" t="s">
        <v>45</v>
      </c>
      <c r="Q1" s="79"/>
      <c r="R1" s="79" t="s">
        <v>45</v>
      </c>
      <c r="S1" s="79" t="s">
        <v>45</v>
      </c>
      <c r="T1" s="79" t="s">
        <v>45</v>
      </c>
      <c r="U1" s="79" t="s">
        <v>45</v>
      </c>
      <c r="V1" s="79" t="s">
        <v>45</v>
      </c>
      <c r="W1" s="79" t="s">
        <v>45</v>
      </c>
      <c r="X1" s="79" t="s">
        <v>45</v>
      </c>
      <c r="Y1" s="79" t="s">
        <v>45</v>
      </c>
      <c r="Z1" s="79" t="s">
        <v>45</v>
      </c>
      <c r="AA1" s="79" t="s">
        <v>45</v>
      </c>
      <c r="AB1" s="79" t="s">
        <v>45</v>
      </c>
      <c r="AC1" s="79" t="s">
        <v>45</v>
      </c>
      <c r="AD1" s="79" t="s">
        <v>45</v>
      </c>
      <c r="AE1" s="79" t="s">
        <v>45</v>
      </c>
    </row>
    <row r="2" spans="1:31" s="92" customFormat="1" ht="15" x14ac:dyDescent="0.25">
      <c r="A2" s="79"/>
      <c r="B2" s="79"/>
      <c r="C2" s="80" t="s">
        <v>112</v>
      </c>
      <c r="D2" s="80" t="s">
        <v>112</v>
      </c>
      <c r="E2" s="80" t="s">
        <v>96</v>
      </c>
      <c r="F2" s="80" t="s">
        <v>96</v>
      </c>
      <c r="G2" s="80" t="s">
        <v>96</v>
      </c>
      <c r="H2" s="80" t="s">
        <v>96</v>
      </c>
      <c r="I2" s="80" t="s">
        <v>96</v>
      </c>
      <c r="J2" s="80" t="s">
        <v>96</v>
      </c>
      <c r="K2" s="80" t="s">
        <v>96</v>
      </c>
      <c r="L2" s="80" t="s">
        <v>96</v>
      </c>
      <c r="M2" s="80" t="s">
        <v>96</v>
      </c>
      <c r="N2" s="80" t="s">
        <v>96</v>
      </c>
      <c r="O2" s="80" t="s">
        <v>96</v>
      </c>
      <c r="P2" s="80" t="s">
        <v>96</v>
      </c>
      <c r="Q2" s="79"/>
      <c r="R2" s="80" t="s">
        <v>112</v>
      </c>
      <c r="S2" s="80" t="s">
        <v>112</v>
      </c>
      <c r="T2" s="80" t="s">
        <v>96</v>
      </c>
      <c r="U2" s="80" t="s">
        <v>96</v>
      </c>
      <c r="V2" s="80" t="s">
        <v>96</v>
      </c>
      <c r="W2" s="80" t="s">
        <v>96</v>
      </c>
      <c r="X2" s="80" t="s">
        <v>96</v>
      </c>
      <c r="Y2" s="80" t="s">
        <v>96</v>
      </c>
      <c r="Z2" s="80" t="s">
        <v>96</v>
      </c>
      <c r="AA2" s="80" t="s">
        <v>96</v>
      </c>
      <c r="AB2" s="80" t="s">
        <v>96</v>
      </c>
      <c r="AC2" s="80" t="s">
        <v>96</v>
      </c>
      <c r="AD2" s="80" t="s">
        <v>96</v>
      </c>
      <c r="AE2" s="80" t="s">
        <v>96</v>
      </c>
    </row>
    <row r="3" spans="1:31" s="92" customFormat="1" ht="15" x14ac:dyDescent="0.25">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row>
    <row r="4" spans="1:31" s="92" customFormat="1" ht="15" x14ac:dyDescent="0.25">
      <c r="A4" s="79"/>
      <c r="B4" s="79"/>
      <c r="C4" s="79" t="s">
        <v>46</v>
      </c>
      <c r="D4" s="79" t="s">
        <v>46</v>
      </c>
      <c r="E4" s="79" t="s">
        <v>46</v>
      </c>
      <c r="F4" s="79" t="s">
        <v>46</v>
      </c>
      <c r="G4" s="79" t="s">
        <v>46</v>
      </c>
      <c r="H4" s="79" t="s">
        <v>46</v>
      </c>
      <c r="I4" s="79" t="s">
        <v>46</v>
      </c>
      <c r="J4" s="79" t="s">
        <v>46</v>
      </c>
      <c r="K4" s="79" t="s">
        <v>46</v>
      </c>
      <c r="L4" s="79" t="s">
        <v>46</v>
      </c>
      <c r="M4" s="79" t="s">
        <v>46</v>
      </c>
      <c r="N4" s="79" t="s">
        <v>46</v>
      </c>
      <c r="O4" s="79" t="s">
        <v>46</v>
      </c>
      <c r="P4" s="79" t="s">
        <v>46</v>
      </c>
      <c r="Q4" s="79"/>
      <c r="R4" s="79" t="s">
        <v>46</v>
      </c>
      <c r="S4" s="79" t="s">
        <v>46</v>
      </c>
      <c r="T4" s="79" t="s">
        <v>46</v>
      </c>
      <c r="U4" s="79" t="s">
        <v>46</v>
      </c>
      <c r="V4" s="79" t="s">
        <v>46</v>
      </c>
      <c r="W4" s="79" t="s">
        <v>46</v>
      </c>
      <c r="X4" s="79" t="s">
        <v>46</v>
      </c>
      <c r="Y4" s="79" t="s">
        <v>46</v>
      </c>
      <c r="Z4" s="79" t="s">
        <v>46</v>
      </c>
      <c r="AA4" s="79" t="s">
        <v>46</v>
      </c>
      <c r="AB4" s="79" t="s">
        <v>46</v>
      </c>
      <c r="AC4" s="79" t="s">
        <v>46</v>
      </c>
      <c r="AD4" s="79" t="s">
        <v>46</v>
      </c>
      <c r="AE4" s="79" t="s">
        <v>46</v>
      </c>
    </row>
    <row r="5" spans="1:31" s="92" customFormat="1" ht="15" x14ac:dyDescent="0.25">
      <c r="A5" s="79"/>
      <c r="B5" s="79"/>
      <c r="C5" s="79" t="s">
        <v>47</v>
      </c>
      <c r="D5" s="79" t="s">
        <v>47</v>
      </c>
      <c r="E5" s="79" t="s">
        <v>47</v>
      </c>
      <c r="F5" s="79" t="s">
        <v>47</v>
      </c>
      <c r="G5" s="79" t="s">
        <v>47</v>
      </c>
      <c r="H5" s="79" t="s">
        <v>47</v>
      </c>
      <c r="I5" s="79" t="s">
        <v>47</v>
      </c>
      <c r="J5" s="79" t="s">
        <v>47</v>
      </c>
      <c r="K5" s="79" t="s">
        <v>47</v>
      </c>
      <c r="L5" s="79" t="s">
        <v>47</v>
      </c>
      <c r="M5" s="79" t="s">
        <v>47</v>
      </c>
      <c r="N5" s="79" t="s">
        <v>47</v>
      </c>
      <c r="O5" s="79" t="s">
        <v>47</v>
      </c>
      <c r="P5" s="79" t="s">
        <v>47</v>
      </c>
      <c r="Q5" s="79"/>
      <c r="R5" s="79" t="s">
        <v>48</v>
      </c>
      <c r="S5" s="79" t="s">
        <v>48</v>
      </c>
      <c r="T5" s="79" t="s">
        <v>48</v>
      </c>
      <c r="U5" s="79" t="s">
        <v>48</v>
      </c>
      <c r="V5" s="79" t="s">
        <v>48</v>
      </c>
      <c r="W5" s="79" t="s">
        <v>48</v>
      </c>
      <c r="X5" s="79" t="s">
        <v>48</v>
      </c>
      <c r="Y5" s="79" t="s">
        <v>48</v>
      </c>
      <c r="Z5" s="79" t="s">
        <v>48</v>
      </c>
      <c r="AA5" s="79" t="s">
        <v>48</v>
      </c>
      <c r="AB5" s="79" t="s">
        <v>48</v>
      </c>
      <c r="AC5" s="79" t="s">
        <v>48</v>
      </c>
      <c r="AD5" s="79" t="s">
        <v>48</v>
      </c>
      <c r="AE5" s="79" t="s">
        <v>48</v>
      </c>
    </row>
    <row r="6" spans="1:31" s="92" customFormat="1" ht="15" x14ac:dyDescent="0.25">
      <c r="A6" s="79"/>
      <c r="B6" s="79"/>
      <c r="C6" s="79" t="s">
        <v>50</v>
      </c>
      <c r="D6" s="79" t="s">
        <v>51</v>
      </c>
      <c r="E6" s="79" t="s">
        <v>95</v>
      </c>
      <c r="F6" s="79" t="s">
        <v>111</v>
      </c>
      <c r="G6" s="79" t="s">
        <v>110</v>
      </c>
      <c r="H6" s="79" t="s">
        <v>109</v>
      </c>
      <c r="I6" s="79" t="s">
        <v>108</v>
      </c>
      <c r="J6" s="79" t="s">
        <v>107</v>
      </c>
      <c r="K6" s="79" t="s">
        <v>106</v>
      </c>
      <c r="L6" s="79" t="s">
        <v>105</v>
      </c>
      <c r="M6" s="79" t="s">
        <v>104</v>
      </c>
      <c r="N6" s="79" t="s">
        <v>49</v>
      </c>
      <c r="O6" s="79" t="s">
        <v>50</v>
      </c>
      <c r="P6" s="79" t="s">
        <v>51</v>
      </c>
      <c r="Q6" s="79"/>
      <c r="R6" s="79" t="s">
        <v>50</v>
      </c>
      <c r="S6" s="79" t="s">
        <v>51</v>
      </c>
      <c r="T6" s="79" t="s">
        <v>95</v>
      </c>
      <c r="U6" s="79" t="s">
        <v>111</v>
      </c>
      <c r="V6" s="79" t="s">
        <v>110</v>
      </c>
      <c r="W6" s="79" t="s">
        <v>109</v>
      </c>
      <c r="X6" s="79" t="s">
        <v>108</v>
      </c>
      <c r="Y6" s="79" t="s">
        <v>107</v>
      </c>
      <c r="Z6" s="79" t="s">
        <v>106</v>
      </c>
      <c r="AA6" s="79" t="s">
        <v>105</v>
      </c>
      <c r="AB6" s="79" t="s">
        <v>104</v>
      </c>
      <c r="AC6" s="79" t="s">
        <v>49</v>
      </c>
      <c r="AD6" s="79" t="s">
        <v>50</v>
      </c>
      <c r="AE6" s="79" t="s">
        <v>51</v>
      </c>
    </row>
    <row r="7" spans="1:31" s="92" customFormat="1" ht="15" x14ac:dyDescent="0.25">
      <c r="A7" s="79"/>
      <c r="B7" s="79"/>
      <c r="C7" s="79" t="s">
        <v>52</v>
      </c>
      <c r="D7" s="79" t="s">
        <v>52</v>
      </c>
      <c r="E7" s="79" t="s">
        <v>52</v>
      </c>
      <c r="F7" s="79" t="s">
        <v>52</v>
      </c>
      <c r="G7" s="79" t="s">
        <v>52</v>
      </c>
      <c r="H7" s="79" t="s">
        <v>52</v>
      </c>
      <c r="I7" s="79" t="s">
        <v>52</v>
      </c>
      <c r="J7" s="79" t="s">
        <v>52</v>
      </c>
      <c r="K7" s="79" t="s">
        <v>52</v>
      </c>
      <c r="L7" s="79" t="s">
        <v>52</v>
      </c>
      <c r="M7" s="79" t="s">
        <v>52</v>
      </c>
      <c r="N7" s="79" t="s">
        <v>52</v>
      </c>
      <c r="O7" s="79" t="s">
        <v>52</v>
      </c>
      <c r="P7" s="79" t="s">
        <v>52</v>
      </c>
      <c r="Q7" s="79"/>
      <c r="R7" s="79" t="s">
        <v>52</v>
      </c>
      <c r="S7" s="79" t="s">
        <v>52</v>
      </c>
      <c r="T7" s="79" t="s">
        <v>52</v>
      </c>
      <c r="U7" s="79" t="s">
        <v>52</v>
      </c>
      <c r="V7" s="79" t="s">
        <v>52</v>
      </c>
      <c r="W7" s="79" t="s">
        <v>52</v>
      </c>
      <c r="X7" s="79" t="s">
        <v>52</v>
      </c>
      <c r="Y7" s="79" t="s">
        <v>52</v>
      </c>
      <c r="Z7" s="79" t="s">
        <v>52</v>
      </c>
      <c r="AA7" s="79" t="s">
        <v>52</v>
      </c>
      <c r="AB7" s="79" t="s">
        <v>52</v>
      </c>
      <c r="AC7" s="79" t="s">
        <v>52</v>
      </c>
      <c r="AD7" s="79" t="s">
        <v>52</v>
      </c>
      <c r="AE7" s="79" t="s">
        <v>52</v>
      </c>
    </row>
    <row r="8" spans="1:31" s="93" customFormat="1" ht="15" x14ac:dyDescent="0.25">
      <c r="A8" s="78" t="s">
        <v>97</v>
      </c>
      <c r="B8" s="54" t="s">
        <v>53</v>
      </c>
      <c r="C8" s="55">
        <v>79518.304000000062</v>
      </c>
      <c r="D8" s="55">
        <v>36448.759000000049</v>
      </c>
      <c r="E8" s="55">
        <v>134775.10700000011</v>
      </c>
      <c r="F8" s="55">
        <v>88999.286000000095</v>
      </c>
      <c r="G8" s="55">
        <v>80697.710000000094</v>
      </c>
      <c r="H8" s="55">
        <v>87934.692000000097</v>
      </c>
      <c r="I8" s="55">
        <v>73131.220000000088</v>
      </c>
      <c r="J8" s="55">
        <v>120065.31600000008</v>
      </c>
      <c r="K8" s="55">
        <v>109019.99900000007</v>
      </c>
      <c r="L8" s="55">
        <v>135565.21900000007</v>
      </c>
      <c r="M8" s="55">
        <v>141915.53900000008</v>
      </c>
      <c r="N8" s="55">
        <v>383468.05300000007</v>
      </c>
      <c r="O8" s="55">
        <v>152290.97600000002</v>
      </c>
      <c r="P8" s="55">
        <v>144628.73100000003</v>
      </c>
      <c r="Q8" s="55"/>
      <c r="R8" s="55">
        <v>17.883649999999992</v>
      </c>
      <c r="S8" s="55">
        <v>8.3467599999999926</v>
      </c>
      <c r="T8" s="55">
        <v>30.540040000000012</v>
      </c>
      <c r="U8" s="55">
        <v>20.478780000000011</v>
      </c>
      <c r="V8" s="55">
        <v>18.068210000000011</v>
      </c>
      <c r="W8" s="55">
        <v>19.178570000000011</v>
      </c>
      <c r="X8" s="55">
        <v>15.547710000000011</v>
      </c>
      <c r="Y8" s="55">
        <v>25.093650000000011</v>
      </c>
      <c r="Z8" s="55">
        <v>22.817880000000009</v>
      </c>
      <c r="AA8" s="55">
        <v>28.780490000000011</v>
      </c>
      <c r="AB8" s="55">
        <v>29.731300000000012</v>
      </c>
      <c r="AC8" s="55">
        <v>84.669750000000022</v>
      </c>
      <c r="AD8" s="55">
        <v>35.544700000000006</v>
      </c>
      <c r="AE8" s="55">
        <v>33.365850000000009</v>
      </c>
    </row>
    <row r="9" spans="1:31" ht="15" x14ac:dyDescent="0.25">
      <c r="A9" s="78" t="s">
        <v>98</v>
      </c>
      <c r="B9" s="54" t="s">
        <v>54</v>
      </c>
      <c r="C9" s="55">
        <v>11497994.933999998</v>
      </c>
      <c r="D9" s="55">
        <v>13463323.142999999</v>
      </c>
      <c r="E9" s="55">
        <v>13257225.522000004</v>
      </c>
      <c r="F9" s="55">
        <v>10942966.093000002</v>
      </c>
      <c r="G9" s="55">
        <v>10746381.629000003</v>
      </c>
      <c r="H9" s="55">
        <v>10710375.371000003</v>
      </c>
      <c r="I9" s="55">
        <v>10851017.714000003</v>
      </c>
      <c r="J9" s="55">
        <v>10093815.426000003</v>
      </c>
      <c r="K9" s="55">
        <v>11767166.114000002</v>
      </c>
      <c r="L9" s="55">
        <v>11339465.071000002</v>
      </c>
      <c r="M9" s="55">
        <v>10068075.695000002</v>
      </c>
      <c r="N9" s="55">
        <v>9045581.6410000026</v>
      </c>
      <c r="O9" s="55">
        <v>12423160.691000002</v>
      </c>
      <c r="P9" s="55">
        <v>13484167.965000002</v>
      </c>
      <c r="Q9" s="55"/>
      <c r="R9" s="55">
        <v>2585.8990799999992</v>
      </c>
      <c r="S9" s="55">
        <v>3083.1010099999994</v>
      </c>
      <c r="T9" s="55">
        <v>3004.0873000000006</v>
      </c>
      <c r="U9" s="55">
        <v>2517.9764700000005</v>
      </c>
      <c r="V9" s="55">
        <v>2406.1148300000004</v>
      </c>
      <c r="W9" s="55">
        <v>2335.9328500000006</v>
      </c>
      <c r="X9" s="55">
        <v>2306.9263800000008</v>
      </c>
      <c r="Y9" s="55">
        <v>2109.6074200000007</v>
      </c>
      <c r="Z9" s="55">
        <v>2462.8678800000007</v>
      </c>
      <c r="AA9" s="55">
        <v>2407.3684500000008</v>
      </c>
      <c r="AB9" s="55">
        <v>2109.261860000001</v>
      </c>
      <c r="AC9" s="55">
        <v>1997.2644400000008</v>
      </c>
      <c r="AD9" s="55">
        <v>2899.5656900000008</v>
      </c>
      <c r="AE9" s="55">
        <v>3110.7975300000007</v>
      </c>
    </row>
    <row r="10" spans="1:31" ht="15" x14ac:dyDescent="0.25">
      <c r="A10" s="78" t="s">
        <v>99</v>
      </c>
      <c r="B10" s="54" t="s">
        <v>55</v>
      </c>
      <c r="C10" s="55">
        <v>72922.805999999997</v>
      </c>
      <c r="D10" s="55">
        <v>0</v>
      </c>
      <c r="E10" s="55">
        <v>-2.9103830456733704E-11</v>
      </c>
      <c r="F10" s="55">
        <v>-141171.45400000003</v>
      </c>
      <c r="G10" s="55">
        <v>-141171.45400000003</v>
      </c>
      <c r="H10" s="55">
        <v>-141171.45400000003</v>
      </c>
      <c r="I10" s="55">
        <v>163132.52000000002</v>
      </c>
      <c r="J10" s="55">
        <v>-196267.8</v>
      </c>
      <c r="K10" s="55">
        <v>-166267.79999999999</v>
      </c>
      <c r="L10" s="55">
        <v>-166267.79999999999</v>
      </c>
      <c r="M10" s="55">
        <v>-166267.79999999999</v>
      </c>
      <c r="N10" s="55">
        <v>-166267.79999999999</v>
      </c>
      <c r="O10" s="55">
        <v>-166267.79999999999</v>
      </c>
      <c r="P10" s="55">
        <v>-166267.79999999999</v>
      </c>
      <c r="Q10" s="55"/>
      <c r="R10" s="55">
        <v>16.40034</v>
      </c>
      <c r="S10" s="55">
        <v>0</v>
      </c>
      <c r="T10" s="55">
        <v>0</v>
      </c>
      <c r="U10" s="55">
        <v>-32.483550000000022</v>
      </c>
      <c r="V10" s="55">
        <v>-31.608290000000022</v>
      </c>
      <c r="W10" s="55">
        <v>-30.789490000000022</v>
      </c>
      <c r="X10" s="55">
        <v>34.681979999999989</v>
      </c>
      <c r="Y10" s="55">
        <v>-41.019970000000008</v>
      </c>
      <c r="Z10" s="55">
        <v>-34.799850000000006</v>
      </c>
      <c r="AA10" s="55">
        <v>-35.298650000000009</v>
      </c>
      <c r="AB10" s="55">
        <v>-34.833100000000009</v>
      </c>
      <c r="AC10" s="55">
        <v>-36.711930000000009</v>
      </c>
      <c r="AD10" s="55">
        <v>-38.806900000000006</v>
      </c>
      <c r="AE10" s="55">
        <v>-38.357980000000005</v>
      </c>
    </row>
    <row r="11" spans="1:31" ht="15" x14ac:dyDescent="0.25">
      <c r="A11" s="78" t="s">
        <v>100</v>
      </c>
      <c r="B11" s="54" t="s">
        <v>56</v>
      </c>
      <c r="C11" s="55">
        <v>-26585.897000000004</v>
      </c>
      <c r="D11" s="55">
        <v>-30769.68</v>
      </c>
      <c r="E11" s="55">
        <v>-25871.803000000011</v>
      </c>
      <c r="F11" s="55">
        <v>-15238.097000000011</v>
      </c>
      <c r="G11" s="55">
        <v>-20346.46100000001</v>
      </c>
      <c r="H11" s="55">
        <v>-55326.922000000006</v>
      </c>
      <c r="I11" s="55">
        <v>-27388.386000000006</v>
      </c>
      <c r="J11" s="55">
        <v>-15042.919000000005</v>
      </c>
      <c r="K11" s="55">
        <v>-31623.263000000006</v>
      </c>
      <c r="L11" s="55">
        <v>-33753.169000000009</v>
      </c>
      <c r="M11" s="55">
        <v>-41959.579000000012</v>
      </c>
      <c r="N11" s="55">
        <v>-20862.497000000007</v>
      </c>
      <c r="O11" s="55">
        <v>-8214.3780000000061</v>
      </c>
      <c r="P11" s="55">
        <v>-7895.1740000000063</v>
      </c>
      <c r="Q11" s="55"/>
      <c r="R11" s="55">
        <v>-5.9791600000000003</v>
      </c>
      <c r="S11" s="55">
        <v>-7.0462499999999997</v>
      </c>
      <c r="T11" s="55">
        <v>-5.862540000000001</v>
      </c>
      <c r="U11" s="55">
        <v>-3.5062800000000012</v>
      </c>
      <c r="V11" s="55">
        <v>-4.5555900000000014</v>
      </c>
      <c r="W11" s="55">
        <v>-12.066800000000002</v>
      </c>
      <c r="X11" s="55">
        <v>-5.8227800000000016</v>
      </c>
      <c r="Y11" s="55">
        <v>-3.1439800000000004</v>
      </c>
      <c r="Z11" s="55">
        <v>-6.6187400000000007</v>
      </c>
      <c r="AA11" s="55">
        <v>-7.1658000000000008</v>
      </c>
      <c r="AB11" s="55">
        <v>-8.7905300000000004</v>
      </c>
      <c r="AC11" s="55">
        <v>-4.606440000000001</v>
      </c>
      <c r="AD11" s="55">
        <v>-1.9172300000000007</v>
      </c>
      <c r="AE11" s="55">
        <v>-1.8214200000000007</v>
      </c>
    </row>
    <row r="12" spans="1:31" ht="15" x14ac:dyDescent="0.25">
      <c r="A12" s="78" t="s">
        <v>101</v>
      </c>
      <c r="B12" s="54" t="s">
        <v>57</v>
      </c>
      <c r="C12" s="55">
        <v>4145218.5169999995</v>
      </c>
      <c r="D12" s="55">
        <v>4930314.0479999995</v>
      </c>
      <c r="E12" s="55">
        <v>4556791.1220000004</v>
      </c>
      <c r="F12" s="55">
        <v>5557202.5100000007</v>
      </c>
      <c r="G12" s="55">
        <v>4801296.9590000007</v>
      </c>
      <c r="H12" s="55">
        <v>4819841.1630000006</v>
      </c>
      <c r="I12" s="55">
        <v>5005696.3270000005</v>
      </c>
      <c r="J12" s="55">
        <v>4985210.0090000005</v>
      </c>
      <c r="K12" s="55">
        <v>5014814.4310000008</v>
      </c>
      <c r="L12" s="55">
        <v>4942146.3080000011</v>
      </c>
      <c r="M12" s="55">
        <v>5455379.046000001</v>
      </c>
      <c r="N12" s="55">
        <v>5266346.9590000007</v>
      </c>
      <c r="O12" s="55">
        <v>5558645.995000001</v>
      </c>
      <c r="P12" s="55">
        <v>5534157.1300000008</v>
      </c>
      <c r="Q12" s="55"/>
      <c r="R12" s="55">
        <v>932.2596400000001</v>
      </c>
      <c r="S12" s="55">
        <v>1129.0419100000001</v>
      </c>
      <c r="T12" s="55">
        <v>1032.5688600000001</v>
      </c>
      <c r="U12" s="55">
        <v>1278.7123000000001</v>
      </c>
      <c r="V12" s="55">
        <v>1075.0103900000001</v>
      </c>
      <c r="W12" s="55">
        <v>1051.2073500000001</v>
      </c>
      <c r="X12" s="55">
        <v>1064.2110300000002</v>
      </c>
      <c r="Y12" s="55">
        <v>1041.9089000000001</v>
      </c>
      <c r="Z12" s="55">
        <v>1049.6006600000001</v>
      </c>
      <c r="AA12" s="55">
        <v>1049.21767</v>
      </c>
      <c r="AB12" s="55">
        <v>1142.90191</v>
      </c>
      <c r="AC12" s="55">
        <v>1162.8094000000001</v>
      </c>
      <c r="AD12" s="55">
        <v>1297.3879700000002</v>
      </c>
      <c r="AE12" s="55">
        <v>1276.7300400000001</v>
      </c>
    </row>
    <row r="13" spans="1:31" ht="15" x14ac:dyDescent="0.25">
      <c r="A13" s="78" t="s">
        <v>102</v>
      </c>
      <c r="B13" s="54" t="s">
        <v>58</v>
      </c>
      <c r="C13" s="55">
        <v>0</v>
      </c>
      <c r="D13" s="55">
        <v>0</v>
      </c>
      <c r="E13" s="55">
        <v>0</v>
      </c>
      <c r="F13" s="55">
        <v>0</v>
      </c>
      <c r="G13" s="55">
        <v>0</v>
      </c>
      <c r="H13" s="55">
        <v>0</v>
      </c>
      <c r="I13" s="55">
        <v>0</v>
      </c>
      <c r="J13" s="55">
        <v>0</v>
      </c>
      <c r="K13" s="55">
        <v>0</v>
      </c>
      <c r="L13" s="55">
        <v>0</v>
      </c>
      <c r="M13" s="55">
        <v>0</v>
      </c>
      <c r="N13" s="55">
        <v>0</v>
      </c>
      <c r="O13" s="55">
        <v>0</v>
      </c>
      <c r="P13" s="55">
        <v>0</v>
      </c>
      <c r="Q13" s="55"/>
      <c r="R13" s="55">
        <v>0</v>
      </c>
      <c r="S13" s="55">
        <v>0</v>
      </c>
      <c r="T13" s="55">
        <v>0</v>
      </c>
      <c r="U13" s="55">
        <v>0</v>
      </c>
      <c r="V13" s="55">
        <v>0</v>
      </c>
      <c r="W13" s="55">
        <v>0</v>
      </c>
      <c r="X13" s="55">
        <v>0</v>
      </c>
      <c r="Y13" s="55">
        <v>0</v>
      </c>
      <c r="Z13" s="55">
        <v>0</v>
      </c>
      <c r="AA13" s="55">
        <v>0</v>
      </c>
      <c r="AB13" s="55">
        <v>0</v>
      </c>
      <c r="AC13" s="55">
        <v>0</v>
      </c>
      <c r="AD13" s="55">
        <v>0</v>
      </c>
      <c r="AE13" s="55">
        <v>0</v>
      </c>
    </row>
    <row r="14" spans="1:31" ht="15" x14ac:dyDescent="0.25">
      <c r="A14" s="78" t="s">
        <v>103</v>
      </c>
      <c r="B14" s="54" t="s">
        <v>59</v>
      </c>
      <c r="C14" s="55">
        <v>0</v>
      </c>
      <c r="D14" s="55">
        <v>0</v>
      </c>
      <c r="E14" s="55">
        <v>0</v>
      </c>
      <c r="F14" s="55">
        <v>0</v>
      </c>
      <c r="G14" s="55">
        <v>0</v>
      </c>
      <c r="H14" s="55">
        <v>0</v>
      </c>
      <c r="I14" s="55">
        <v>0</v>
      </c>
      <c r="J14" s="55">
        <v>0</v>
      </c>
      <c r="K14" s="55">
        <v>0</v>
      </c>
      <c r="L14" s="55">
        <v>0</v>
      </c>
      <c r="M14" s="55">
        <v>0</v>
      </c>
      <c r="N14" s="55">
        <v>0</v>
      </c>
      <c r="O14" s="55">
        <v>0</v>
      </c>
      <c r="P14" s="55">
        <v>0</v>
      </c>
      <c r="Q14" s="55"/>
      <c r="R14" s="55">
        <v>0</v>
      </c>
      <c r="S14" s="55">
        <v>0</v>
      </c>
      <c r="T14" s="55">
        <v>0</v>
      </c>
      <c r="U14" s="55">
        <v>0</v>
      </c>
      <c r="V14" s="55">
        <v>0</v>
      </c>
      <c r="W14" s="55">
        <v>0</v>
      </c>
      <c r="X14" s="55">
        <v>0</v>
      </c>
      <c r="Y14" s="55">
        <v>0</v>
      </c>
      <c r="Z14" s="55">
        <v>0</v>
      </c>
      <c r="AA14" s="55">
        <v>0</v>
      </c>
      <c r="AB14" s="55">
        <v>0</v>
      </c>
      <c r="AC14" s="55">
        <v>0</v>
      </c>
      <c r="AD14" s="55">
        <v>0</v>
      </c>
      <c r="AE14" s="55">
        <v>0</v>
      </c>
    </row>
    <row r="15" spans="1:31" s="93" customFormat="1" ht="15" x14ac:dyDescent="0.25">
      <c r="A15" s="80" t="s">
        <v>60</v>
      </c>
      <c r="B15" s="79" t="s">
        <v>61</v>
      </c>
      <c r="C15" s="81">
        <f>SUM(C9:C14)</f>
        <v>15689550.359999998</v>
      </c>
      <c r="D15" s="76">
        <f t="shared" ref="D15:P15" si="0">SUM(D9:D14)</f>
        <v>18362867.511</v>
      </c>
      <c r="E15" s="76">
        <f t="shared" si="0"/>
        <v>17788144.841000006</v>
      </c>
      <c r="F15" s="76">
        <f t="shared" si="0"/>
        <v>16343759.052000005</v>
      </c>
      <c r="G15" s="76">
        <f t="shared" si="0"/>
        <v>15386160.673000004</v>
      </c>
      <c r="H15" s="76">
        <f t="shared" si="0"/>
        <v>15333718.158000004</v>
      </c>
      <c r="I15" s="76">
        <f t="shared" si="0"/>
        <v>15992458.175000004</v>
      </c>
      <c r="J15" s="76">
        <f t="shared" si="0"/>
        <v>14867714.716000002</v>
      </c>
      <c r="K15" s="76">
        <f t="shared" si="0"/>
        <v>16584089.482000001</v>
      </c>
      <c r="L15" s="76">
        <f t="shared" si="0"/>
        <v>16081590.410000004</v>
      </c>
      <c r="M15" s="76">
        <f t="shared" si="0"/>
        <v>15315227.362000003</v>
      </c>
      <c r="N15" s="76">
        <f t="shared" si="0"/>
        <v>14124798.303000003</v>
      </c>
      <c r="O15" s="76">
        <f t="shared" si="0"/>
        <v>17807324.508000001</v>
      </c>
      <c r="P15" s="76">
        <f t="shared" si="0"/>
        <v>18844162.120999999</v>
      </c>
      <c r="Q15" s="58"/>
      <c r="R15" s="81">
        <f>SUM(R9:R14)</f>
        <v>3528.5798999999997</v>
      </c>
      <c r="S15" s="76">
        <f t="shared" ref="S15:AE15" si="1">SUM(S9:S14)</f>
        <v>4205.0966699999999</v>
      </c>
      <c r="T15" s="76">
        <f t="shared" si="1"/>
        <v>4030.7936200000004</v>
      </c>
      <c r="U15" s="76">
        <f t="shared" si="1"/>
        <v>3760.6989400000007</v>
      </c>
      <c r="V15" s="76">
        <f t="shared" si="1"/>
        <v>3444.9613400000007</v>
      </c>
      <c r="W15" s="76">
        <f t="shared" si="1"/>
        <v>3344.2839100000006</v>
      </c>
      <c r="X15" s="76">
        <f t="shared" si="1"/>
        <v>3399.9966100000011</v>
      </c>
      <c r="Y15" s="76">
        <f t="shared" si="1"/>
        <v>3107.3523700000014</v>
      </c>
      <c r="Z15" s="76">
        <f t="shared" si="1"/>
        <v>3471.049950000001</v>
      </c>
      <c r="AA15" s="76">
        <f t="shared" si="1"/>
        <v>3414.1216700000004</v>
      </c>
      <c r="AB15" s="76">
        <f t="shared" si="1"/>
        <v>3208.540140000001</v>
      </c>
      <c r="AC15" s="76">
        <f t="shared" si="1"/>
        <v>3118.755470000001</v>
      </c>
      <c r="AD15" s="76">
        <f t="shared" si="1"/>
        <v>4156.2295300000005</v>
      </c>
      <c r="AE15" s="76">
        <f t="shared" si="1"/>
        <v>4347.3481700000002</v>
      </c>
    </row>
    <row r="16" spans="1:31" ht="15" x14ac:dyDescent="0.2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72"/>
    </row>
    <row r="17" spans="1:31" ht="15" x14ac:dyDescent="0.2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66"/>
    </row>
    <row r="18" spans="1:31" ht="15" x14ac:dyDescent="0.2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66"/>
    </row>
    <row r="19" spans="1:31" ht="15" x14ac:dyDescent="0.25">
      <c r="A19" s="54"/>
      <c r="B19" s="54"/>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66"/>
    </row>
    <row r="20" spans="1:31" ht="15" x14ac:dyDescent="0.25">
      <c r="A20" s="54"/>
      <c r="B20" s="54"/>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66"/>
    </row>
    <row r="21" spans="1:31" ht="15" x14ac:dyDescent="0.25">
      <c r="A21" s="54"/>
      <c r="B21" s="54"/>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row>
    <row r="22" spans="1:31" ht="15" x14ac:dyDescent="0.25">
      <c r="A22" s="54"/>
      <c r="B22" s="54"/>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AF27"/>
  <sheetViews>
    <sheetView workbookViewId="0">
      <pane xSplit="3" ySplit="7" topLeftCell="M21" activePane="bottomRight" state="frozen"/>
      <selection pane="topRight" activeCell="D1" sqref="D1"/>
      <selection pane="bottomLeft" activeCell="A8" sqref="A8"/>
      <selection pane="bottomRight" activeCell="R24" sqref="R24"/>
    </sheetView>
  </sheetViews>
  <sheetFormatPr baseColWidth="10" defaultColWidth="11.42578125" defaultRowHeight="15" x14ac:dyDescent="0.25"/>
  <cols>
    <col min="1" max="1" width="10.7109375" customWidth="1"/>
    <col min="2" max="2" width="34.7109375" customWidth="1"/>
    <col min="3" max="3" width="18.7109375" style="38" customWidth="1"/>
    <col min="4" max="4" width="16.5703125" style="38" customWidth="1"/>
    <col min="5" max="5" width="19.28515625" style="38" customWidth="1"/>
    <col min="6" max="6" width="16.28515625" style="38" customWidth="1"/>
    <col min="7" max="7" width="15" style="38" customWidth="1"/>
    <col min="8" max="8" width="13.42578125" style="38" customWidth="1"/>
    <col min="9" max="9" width="12.85546875" style="38" hidden="1" customWidth="1"/>
    <col min="10" max="10" width="33.42578125" style="38" hidden="1" customWidth="1"/>
    <col min="11" max="11" width="3.140625" style="38" customWidth="1"/>
    <col min="12" max="12" width="10.7109375" style="38" customWidth="1"/>
    <col min="13" max="13" width="15.7109375" style="38" customWidth="1"/>
    <col min="14" max="14" width="15.85546875" style="38" customWidth="1"/>
    <col min="15" max="15" width="13.28515625" style="38" customWidth="1"/>
    <col min="16" max="16" width="17" style="38" customWidth="1"/>
    <col min="17" max="17" width="19.42578125" style="38" customWidth="1"/>
    <col min="18" max="18" width="18.140625" style="38" customWidth="1"/>
    <col min="19" max="19" width="16.85546875" style="38" customWidth="1"/>
    <col min="20" max="20" width="13.42578125" style="38" hidden="1" customWidth="1"/>
    <col min="21" max="21" width="14.42578125" style="38" hidden="1" customWidth="1"/>
    <col min="22" max="22" width="16.5703125" style="38" hidden="1" customWidth="1"/>
    <col min="23" max="23" width="14" style="38" hidden="1" customWidth="1"/>
    <col min="24" max="24" width="13.85546875" style="38" hidden="1" customWidth="1"/>
    <col min="25" max="25" width="16.85546875" style="38" hidden="1" customWidth="1"/>
    <col min="26" max="26" width="13.42578125" style="38" hidden="1" customWidth="1"/>
    <col min="27" max="27" width="18.85546875" style="38" hidden="1" customWidth="1"/>
    <col min="28" max="28" width="33.140625" style="38" hidden="1" customWidth="1"/>
    <col min="29" max="29" width="13.5703125" style="38" hidden="1" customWidth="1"/>
    <col min="30" max="30" width="15.5703125" style="38" hidden="1" customWidth="1"/>
    <col min="31" max="31" width="18.5703125" style="38" hidden="1" customWidth="1"/>
    <col min="32" max="16384" width="11.42578125" style="38"/>
  </cols>
  <sheetData>
    <row r="1" spans="1:31" s="74" customFormat="1" x14ac:dyDescent="0.25">
      <c r="A1" s="54"/>
      <c r="B1" s="54"/>
      <c r="C1" s="54" t="s">
        <v>45</v>
      </c>
      <c r="D1" s="54" t="s">
        <v>45</v>
      </c>
      <c r="E1" s="54" t="s">
        <v>45</v>
      </c>
      <c r="F1" s="54" t="s">
        <v>45</v>
      </c>
      <c r="G1" s="54" t="s">
        <v>45</v>
      </c>
      <c r="H1" s="54" t="s">
        <v>45</v>
      </c>
      <c r="I1" s="54" t="s">
        <v>45</v>
      </c>
      <c r="J1" s="54" t="s">
        <v>45</v>
      </c>
      <c r="K1" s="54" t="s">
        <v>45</v>
      </c>
      <c r="L1" s="54" t="s">
        <v>45</v>
      </c>
      <c r="M1" s="54" t="s">
        <v>45</v>
      </c>
      <c r="N1" s="54" t="s">
        <v>45</v>
      </c>
      <c r="O1" s="54" t="s">
        <v>45</v>
      </c>
      <c r="P1" s="54" t="s">
        <v>45</v>
      </c>
      <c r="Q1" s="54"/>
      <c r="R1" s="54" t="s">
        <v>45</v>
      </c>
      <c r="S1" s="54" t="s">
        <v>45</v>
      </c>
      <c r="T1" s="54" t="s">
        <v>45</v>
      </c>
      <c r="U1" s="54" t="s">
        <v>45</v>
      </c>
      <c r="V1" s="54" t="s">
        <v>45</v>
      </c>
      <c r="W1" s="54" t="s">
        <v>45</v>
      </c>
      <c r="X1" s="54" t="s">
        <v>45</v>
      </c>
      <c r="Y1" s="54" t="s">
        <v>45</v>
      </c>
      <c r="Z1" s="54" t="s">
        <v>45</v>
      </c>
      <c r="AA1" s="54" t="s">
        <v>45</v>
      </c>
      <c r="AB1" s="54" t="s">
        <v>45</v>
      </c>
      <c r="AC1" s="54" t="s">
        <v>45</v>
      </c>
      <c r="AD1" s="54" t="s">
        <v>45</v>
      </c>
      <c r="AE1" s="54" t="s">
        <v>45</v>
      </c>
    </row>
    <row r="2" spans="1:31" s="74" customFormat="1" x14ac:dyDescent="0.25">
      <c r="A2" s="54"/>
      <c r="B2" s="54"/>
      <c r="C2" s="78" t="s">
        <v>112</v>
      </c>
      <c r="D2" s="78" t="s">
        <v>112</v>
      </c>
      <c r="E2" s="78" t="s">
        <v>96</v>
      </c>
      <c r="F2" s="78" t="s">
        <v>96</v>
      </c>
      <c r="G2" s="78" t="s">
        <v>96</v>
      </c>
      <c r="H2" s="78" t="s">
        <v>96</v>
      </c>
      <c r="I2" s="78" t="s">
        <v>96</v>
      </c>
      <c r="J2" s="78" t="s">
        <v>96</v>
      </c>
      <c r="K2" s="78" t="s">
        <v>96</v>
      </c>
      <c r="L2" s="78" t="s">
        <v>96</v>
      </c>
      <c r="M2" s="78" t="s">
        <v>96</v>
      </c>
      <c r="N2" s="78" t="s">
        <v>96</v>
      </c>
      <c r="O2" s="78" t="s">
        <v>96</v>
      </c>
      <c r="P2" s="78" t="s">
        <v>96</v>
      </c>
      <c r="Q2" s="54"/>
      <c r="R2" s="78" t="s">
        <v>112</v>
      </c>
      <c r="S2" s="78" t="s">
        <v>112</v>
      </c>
      <c r="T2" s="78" t="s">
        <v>96</v>
      </c>
      <c r="U2" s="78" t="s">
        <v>96</v>
      </c>
      <c r="V2" s="78" t="s">
        <v>96</v>
      </c>
      <c r="W2" s="78" t="s">
        <v>96</v>
      </c>
      <c r="X2" s="78" t="s">
        <v>96</v>
      </c>
      <c r="Y2" s="78" t="s">
        <v>96</v>
      </c>
      <c r="Z2" s="78" t="s">
        <v>96</v>
      </c>
      <c r="AA2" s="78" t="s">
        <v>96</v>
      </c>
      <c r="AB2" s="78" t="s">
        <v>96</v>
      </c>
      <c r="AC2" s="78" t="s">
        <v>96</v>
      </c>
      <c r="AD2" s="78" t="s">
        <v>96</v>
      </c>
      <c r="AE2" s="78" t="s">
        <v>96</v>
      </c>
    </row>
    <row r="3" spans="1:31" s="74" customFormat="1" x14ac:dyDescent="0.25">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row>
    <row r="4" spans="1:31" s="74" customFormat="1" x14ac:dyDescent="0.25">
      <c r="A4" s="54"/>
      <c r="B4" s="54"/>
      <c r="C4" s="54" t="s">
        <v>62</v>
      </c>
      <c r="D4" s="54" t="s">
        <v>62</v>
      </c>
      <c r="E4" s="54" t="s">
        <v>62</v>
      </c>
      <c r="F4" s="54" t="s">
        <v>62</v>
      </c>
      <c r="G4" s="54" t="s">
        <v>62</v>
      </c>
      <c r="H4" s="54" t="s">
        <v>62</v>
      </c>
      <c r="I4" s="54" t="s">
        <v>62</v>
      </c>
      <c r="J4" s="54" t="s">
        <v>62</v>
      </c>
      <c r="K4" s="54" t="s">
        <v>62</v>
      </c>
      <c r="L4" s="54" t="s">
        <v>62</v>
      </c>
      <c r="M4" s="54" t="s">
        <v>62</v>
      </c>
      <c r="N4" s="54" t="s">
        <v>62</v>
      </c>
      <c r="O4" s="54" t="s">
        <v>62</v>
      </c>
      <c r="P4" s="54" t="s">
        <v>62</v>
      </c>
      <c r="Q4" s="54"/>
      <c r="R4" s="54" t="s">
        <v>62</v>
      </c>
      <c r="S4" s="54" t="s">
        <v>62</v>
      </c>
      <c r="T4" s="54" t="s">
        <v>62</v>
      </c>
      <c r="U4" s="54" t="s">
        <v>62</v>
      </c>
      <c r="V4" s="54" t="s">
        <v>62</v>
      </c>
      <c r="W4" s="54" t="s">
        <v>62</v>
      </c>
      <c r="X4" s="54" t="s">
        <v>62</v>
      </c>
      <c r="Y4" s="54" t="s">
        <v>62</v>
      </c>
      <c r="Z4" s="54" t="s">
        <v>62</v>
      </c>
      <c r="AA4" s="54" t="s">
        <v>62</v>
      </c>
      <c r="AB4" s="54" t="s">
        <v>62</v>
      </c>
      <c r="AC4" s="54" t="s">
        <v>62</v>
      </c>
      <c r="AD4" s="54" t="s">
        <v>62</v>
      </c>
      <c r="AE4" s="54" t="s">
        <v>62</v>
      </c>
    </row>
    <row r="5" spans="1:31" s="74" customFormat="1" x14ac:dyDescent="0.25">
      <c r="A5" s="54"/>
      <c r="B5" s="54"/>
      <c r="C5" s="54" t="s">
        <v>47</v>
      </c>
      <c r="D5" s="54" t="s">
        <v>47</v>
      </c>
      <c r="E5" s="54" t="s">
        <v>47</v>
      </c>
      <c r="F5" s="54" t="s">
        <v>47</v>
      </c>
      <c r="G5" s="54" t="s">
        <v>47</v>
      </c>
      <c r="H5" s="54" t="s">
        <v>47</v>
      </c>
      <c r="I5" s="54" t="s">
        <v>47</v>
      </c>
      <c r="J5" s="54" t="s">
        <v>47</v>
      </c>
      <c r="K5" s="54" t="s">
        <v>47</v>
      </c>
      <c r="L5" s="54" t="s">
        <v>47</v>
      </c>
      <c r="M5" s="54" t="s">
        <v>47</v>
      </c>
      <c r="N5" s="54" t="s">
        <v>47</v>
      </c>
      <c r="O5" s="54" t="s">
        <v>47</v>
      </c>
      <c r="P5" s="54" t="s">
        <v>47</v>
      </c>
      <c r="Q5" s="54"/>
      <c r="R5" s="54" t="s">
        <v>48</v>
      </c>
      <c r="S5" s="54" t="s">
        <v>48</v>
      </c>
      <c r="T5" s="54" t="s">
        <v>48</v>
      </c>
      <c r="U5" s="54" t="s">
        <v>48</v>
      </c>
      <c r="V5" s="54" t="s">
        <v>48</v>
      </c>
      <c r="W5" s="54" t="s">
        <v>48</v>
      </c>
      <c r="X5" s="54" t="s">
        <v>48</v>
      </c>
      <c r="Y5" s="54" t="s">
        <v>48</v>
      </c>
      <c r="Z5" s="54" t="s">
        <v>48</v>
      </c>
      <c r="AA5" s="54" t="s">
        <v>48</v>
      </c>
      <c r="AB5" s="54" t="s">
        <v>48</v>
      </c>
      <c r="AC5" s="54" t="s">
        <v>48</v>
      </c>
      <c r="AD5" s="54" t="s">
        <v>48</v>
      </c>
      <c r="AE5" s="54" t="s">
        <v>48</v>
      </c>
    </row>
    <row r="6" spans="1:31" s="74" customFormat="1" x14ac:dyDescent="0.25">
      <c r="A6" s="54"/>
      <c r="B6" s="54"/>
      <c r="C6" s="54" t="s">
        <v>50</v>
      </c>
      <c r="D6" s="54" t="s">
        <v>51</v>
      </c>
      <c r="E6" s="54" t="s">
        <v>95</v>
      </c>
      <c r="F6" s="54" t="s">
        <v>111</v>
      </c>
      <c r="G6" s="54" t="s">
        <v>110</v>
      </c>
      <c r="H6" s="54" t="s">
        <v>109</v>
      </c>
      <c r="I6" s="54" t="s">
        <v>108</v>
      </c>
      <c r="J6" s="54" t="s">
        <v>107</v>
      </c>
      <c r="K6" s="54" t="s">
        <v>106</v>
      </c>
      <c r="L6" s="54" t="s">
        <v>105</v>
      </c>
      <c r="M6" s="54" t="s">
        <v>104</v>
      </c>
      <c r="N6" s="54" t="s">
        <v>49</v>
      </c>
      <c r="O6" s="54" t="s">
        <v>50</v>
      </c>
      <c r="P6" s="54" t="s">
        <v>51</v>
      </c>
      <c r="Q6" s="54"/>
      <c r="R6" s="54" t="s">
        <v>50</v>
      </c>
      <c r="S6" s="54" t="s">
        <v>51</v>
      </c>
      <c r="T6" s="54" t="s">
        <v>95</v>
      </c>
      <c r="U6" s="54" t="s">
        <v>111</v>
      </c>
      <c r="V6" s="54" t="s">
        <v>110</v>
      </c>
      <c r="W6" s="54" t="s">
        <v>109</v>
      </c>
      <c r="X6" s="54" t="s">
        <v>108</v>
      </c>
      <c r="Y6" s="54" t="s">
        <v>107</v>
      </c>
      <c r="Z6" s="54" t="s">
        <v>106</v>
      </c>
      <c r="AA6" s="54" t="s">
        <v>105</v>
      </c>
      <c r="AB6" s="54" t="s">
        <v>104</v>
      </c>
      <c r="AC6" s="54" t="s">
        <v>49</v>
      </c>
      <c r="AD6" s="54" t="s">
        <v>50</v>
      </c>
      <c r="AE6" s="54" t="s">
        <v>51</v>
      </c>
    </row>
    <row r="7" spans="1:31" s="74" customFormat="1" x14ac:dyDescent="0.25">
      <c r="A7" s="54"/>
      <c r="B7" s="54"/>
      <c r="C7" s="54" t="s">
        <v>52</v>
      </c>
      <c r="D7" s="54" t="s">
        <v>52</v>
      </c>
      <c r="E7" s="54" t="s">
        <v>52</v>
      </c>
      <c r="F7" s="54" t="s">
        <v>52</v>
      </c>
      <c r="G7" s="54" t="s">
        <v>52</v>
      </c>
      <c r="H7" s="54" t="s">
        <v>52</v>
      </c>
      <c r="I7" s="54" t="s">
        <v>52</v>
      </c>
      <c r="J7" s="54" t="s">
        <v>52</v>
      </c>
      <c r="K7" s="54" t="s">
        <v>52</v>
      </c>
      <c r="L7" s="54" t="s">
        <v>52</v>
      </c>
      <c r="M7" s="54" t="s">
        <v>52</v>
      </c>
      <c r="N7" s="54" t="s">
        <v>52</v>
      </c>
      <c r="O7" s="54" t="s">
        <v>52</v>
      </c>
      <c r="P7" s="54" t="s">
        <v>52</v>
      </c>
      <c r="Q7" s="54"/>
      <c r="R7" s="54" t="s">
        <v>52</v>
      </c>
      <c r="S7" s="54" t="s">
        <v>52</v>
      </c>
      <c r="T7" s="54" t="s">
        <v>52</v>
      </c>
      <c r="U7" s="54" t="s">
        <v>52</v>
      </c>
      <c r="V7" s="54" t="s">
        <v>52</v>
      </c>
      <c r="W7" s="54" t="s">
        <v>52</v>
      </c>
      <c r="X7" s="54" t="s">
        <v>52</v>
      </c>
      <c r="Y7" s="54" t="s">
        <v>52</v>
      </c>
      <c r="Z7" s="54" t="s">
        <v>52</v>
      </c>
      <c r="AA7" s="54" t="s">
        <v>52</v>
      </c>
      <c r="AB7" s="54" t="s">
        <v>52</v>
      </c>
      <c r="AC7" s="54" t="s">
        <v>52</v>
      </c>
      <c r="AD7" s="54" t="s">
        <v>52</v>
      </c>
      <c r="AE7" s="54" t="s">
        <v>52</v>
      </c>
    </row>
    <row r="8" spans="1:31" customFormat="1" hidden="1" x14ac:dyDescent="0.25">
      <c r="A8" s="54" t="s">
        <v>63</v>
      </c>
      <c r="B8" s="54" t="s">
        <v>64</v>
      </c>
      <c r="C8" s="54">
        <v>0</v>
      </c>
      <c r="D8" s="54">
        <v>0</v>
      </c>
      <c r="E8" s="54">
        <v>0</v>
      </c>
      <c r="F8" s="54">
        <v>0</v>
      </c>
      <c r="G8" s="54">
        <v>0</v>
      </c>
      <c r="H8" s="54">
        <v>0</v>
      </c>
      <c r="I8" s="54">
        <v>0</v>
      </c>
      <c r="J8" s="54">
        <v>0</v>
      </c>
      <c r="K8" s="54">
        <v>0</v>
      </c>
      <c r="L8" s="54">
        <v>0</v>
      </c>
      <c r="M8" s="54">
        <v>0</v>
      </c>
      <c r="N8" s="54">
        <v>0</v>
      </c>
      <c r="O8" s="54">
        <v>0</v>
      </c>
      <c r="P8" s="54">
        <v>0</v>
      </c>
      <c r="Q8" s="54"/>
      <c r="R8" s="54">
        <v>0</v>
      </c>
      <c r="S8" s="54">
        <v>0</v>
      </c>
      <c r="T8" s="54">
        <v>0</v>
      </c>
      <c r="U8" s="54">
        <v>0</v>
      </c>
      <c r="V8" s="54">
        <v>0</v>
      </c>
      <c r="W8" s="54">
        <v>0</v>
      </c>
      <c r="X8" s="54">
        <v>0</v>
      </c>
      <c r="Y8" s="54">
        <v>0</v>
      </c>
      <c r="Z8" s="54">
        <v>0</v>
      </c>
      <c r="AA8" s="54">
        <v>0</v>
      </c>
      <c r="AB8" s="54">
        <v>0</v>
      </c>
      <c r="AC8" s="54">
        <v>0</v>
      </c>
      <c r="AD8" s="54">
        <v>0</v>
      </c>
      <c r="AE8" s="54">
        <v>0</v>
      </c>
    </row>
    <row r="9" spans="1:31" customFormat="1" hidden="1" x14ac:dyDescent="0.25">
      <c r="A9" s="54" t="s">
        <v>65</v>
      </c>
      <c r="B9" s="54" t="s">
        <v>66</v>
      </c>
      <c r="C9" s="54">
        <v>0</v>
      </c>
      <c r="D9" s="54">
        <v>0</v>
      </c>
      <c r="E9" s="54">
        <v>0</v>
      </c>
      <c r="F9" s="54">
        <v>0</v>
      </c>
      <c r="G9" s="54">
        <v>0</v>
      </c>
      <c r="H9" s="54">
        <v>0</v>
      </c>
      <c r="I9" s="54">
        <v>0</v>
      </c>
      <c r="J9" s="54">
        <v>0</v>
      </c>
      <c r="K9" s="54">
        <v>0</v>
      </c>
      <c r="L9" s="54">
        <v>0</v>
      </c>
      <c r="M9" s="54">
        <v>0</v>
      </c>
      <c r="N9" s="54">
        <v>0</v>
      </c>
      <c r="O9" s="54">
        <v>0</v>
      </c>
      <c r="P9" s="54">
        <v>0</v>
      </c>
      <c r="Q9" s="54"/>
      <c r="R9" s="54">
        <v>0</v>
      </c>
      <c r="S9" s="54">
        <v>0</v>
      </c>
      <c r="T9" s="54">
        <v>0</v>
      </c>
      <c r="U9" s="54">
        <v>0</v>
      </c>
      <c r="V9" s="54">
        <v>0</v>
      </c>
      <c r="W9" s="54">
        <v>0</v>
      </c>
      <c r="X9" s="54">
        <v>0</v>
      </c>
      <c r="Y9" s="54">
        <v>0</v>
      </c>
      <c r="Z9" s="54">
        <v>0</v>
      </c>
      <c r="AA9" s="54">
        <v>0</v>
      </c>
      <c r="AB9" s="54">
        <v>0</v>
      </c>
      <c r="AC9" s="54">
        <v>0</v>
      </c>
      <c r="AD9" s="54">
        <v>0</v>
      </c>
      <c r="AE9" s="54">
        <v>0</v>
      </c>
    </row>
    <row r="10" spans="1:31" customFormat="1" hidden="1" x14ac:dyDescent="0.25">
      <c r="A10" s="78" t="s">
        <v>67</v>
      </c>
      <c r="B10" s="54" t="s">
        <v>68</v>
      </c>
      <c r="C10" s="54">
        <v>0</v>
      </c>
      <c r="D10" s="54">
        <v>0</v>
      </c>
      <c r="E10" s="54">
        <v>0</v>
      </c>
      <c r="F10" s="54">
        <v>0</v>
      </c>
      <c r="G10" s="54">
        <v>0</v>
      </c>
      <c r="H10" s="54">
        <v>0</v>
      </c>
      <c r="I10" s="54">
        <v>0</v>
      </c>
      <c r="J10" s="54">
        <v>0</v>
      </c>
      <c r="K10" s="54">
        <v>0</v>
      </c>
      <c r="L10" s="54">
        <v>0</v>
      </c>
      <c r="M10" s="54">
        <v>0</v>
      </c>
      <c r="N10" s="54">
        <v>0</v>
      </c>
      <c r="O10" s="54">
        <v>0</v>
      </c>
      <c r="P10" s="54">
        <v>0</v>
      </c>
      <c r="Q10" s="54"/>
      <c r="R10" s="54">
        <v>0</v>
      </c>
      <c r="S10" s="54">
        <v>0</v>
      </c>
      <c r="T10" s="54">
        <v>0</v>
      </c>
      <c r="U10" s="54">
        <v>0</v>
      </c>
      <c r="V10" s="54">
        <v>0</v>
      </c>
      <c r="W10" s="54">
        <v>0</v>
      </c>
      <c r="X10" s="54">
        <v>0</v>
      </c>
      <c r="Y10" s="54">
        <v>0</v>
      </c>
      <c r="Z10" s="54">
        <v>0</v>
      </c>
      <c r="AA10" s="54">
        <v>0</v>
      </c>
      <c r="AB10" s="54">
        <v>0</v>
      </c>
      <c r="AC10" s="54">
        <v>0</v>
      </c>
      <c r="AD10" s="54">
        <v>0</v>
      </c>
      <c r="AE10" s="54">
        <v>0</v>
      </c>
    </row>
    <row r="11" spans="1:31" customFormat="1" hidden="1" x14ac:dyDescent="0.25">
      <c r="A11" s="78" t="s">
        <v>69</v>
      </c>
      <c r="B11" s="54" t="s">
        <v>70</v>
      </c>
      <c r="C11" s="54">
        <v>0</v>
      </c>
      <c r="D11" s="54">
        <v>0</v>
      </c>
      <c r="E11" s="54">
        <v>0</v>
      </c>
      <c r="F11" s="54">
        <v>0</v>
      </c>
      <c r="G11" s="54">
        <v>0</v>
      </c>
      <c r="H11" s="54">
        <v>0</v>
      </c>
      <c r="I11" s="54">
        <v>0</v>
      </c>
      <c r="J11" s="54">
        <v>0</v>
      </c>
      <c r="K11" s="54">
        <v>0</v>
      </c>
      <c r="L11" s="54">
        <v>0</v>
      </c>
      <c r="M11" s="54">
        <v>0</v>
      </c>
      <c r="N11" s="54">
        <v>0</v>
      </c>
      <c r="O11" s="54">
        <v>0</v>
      </c>
      <c r="P11" s="54">
        <v>0</v>
      </c>
      <c r="Q11" s="54"/>
      <c r="R11" s="54">
        <v>0</v>
      </c>
      <c r="S11" s="54">
        <v>0</v>
      </c>
      <c r="T11" s="54">
        <v>0</v>
      </c>
      <c r="U11" s="54">
        <v>0</v>
      </c>
      <c r="V11" s="54">
        <v>0</v>
      </c>
      <c r="W11" s="54">
        <v>0</v>
      </c>
      <c r="X11" s="54">
        <v>0</v>
      </c>
      <c r="Y11" s="54">
        <v>0</v>
      </c>
      <c r="Z11" s="54">
        <v>0</v>
      </c>
      <c r="AA11" s="54">
        <v>0</v>
      </c>
      <c r="AB11" s="54">
        <v>0</v>
      </c>
      <c r="AC11" s="54">
        <v>0</v>
      </c>
      <c r="AD11" s="54">
        <v>0</v>
      </c>
      <c r="AE11" s="54">
        <v>0</v>
      </c>
    </row>
    <row r="12" spans="1:31" customFormat="1" hidden="1" x14ac:dyDescent="0.25">
      <c r="A12" s="78" t="s">
        <v>71</v>
      </c>
      <c r="B12" s="54" t="s">
        <v>72</v>
      </c>
      <c r="C12" s="54">
        <v>0</v>
      </c>
      <c r="D12" s="54">
        <v>0</v>
      </c>
      <c r="E12" s="54">
        <v>0</v>
      </c>
      <c r="F12" s="54">
        <v>0</v>
      </c>
      <c r="G12" s="54">
        <v>0</v>
      </c>
      <c r="H12" s="54">
        <v>0</v>
      </c>
      <c r="I12" s="54">
        <v>0</v>
      </c>
      <c r="J12" s="54">
        <v>0</v>
      </c>
      <c r="K12" s="54">
        <v>0</v>
      </c>
      <c r="L12" s="54">
        <v>0</v>
      </c>
      <c r="M12" s="54">
        <v>0</v>
      </c>
      <c r="N12" s="54">
        <v>0</v>
      </c>
      <c r="O12" s="54">
        <v>0</v>
      </c>
      <c r="P12" s="54">
        <v>0</v>
      </c>
      <c r="Q12" s="54"/>
      <c r="R12" s="54">
        <v>0</v>
      </c>
      <c r="S12" s="54">
        <v>0</v>
      </c>
      <c r="T12" s="54">
        <v>0</v>
      </c>
      <c r="U12" s="54">
        <v>0</v>
      </c>
      <c r="V12" s="54">
        <v>0</v>
      </c>
      <c r="W12" s="54">
        <v>0</v>
      </c>
      <c r="X12" s="54">
        <v>0</v>
      </c>
      <c r="Y12" s="54">
        <v>0</v>
      </c>
      <c r="Z12" s="54">
        <v>0</v>
      </c>
      <c r="AA12" s="54">
        <v>0</v>
      </c>
      <c r="AB12" s="54">
        <v>0</v>
      </c>
      <c r="AC12" s="54">
        <v>0</v>
      </c>
      <c r="AD12" s="54">
        <v>0</v>
      </c>
      <c r="AE12" s="54">
        <v>0</v>
      </c>
    </row>
    <row r="13" spans="1:31" customFormat="1" hidden="1" x14ac:dyDescent="0.25">
      <c r="A13" s="78" t="s">
        <v>73</v>
      </c>
      <c r="B13" s="54" t="s">
        <v>74</v>
      </c>
      <c r="C13" s="54">
        <v>0</v>
      </c>
      <c r="D13" s="54">
        <v>0</v>
      </c>
      <c r="E13" s="54">
        <v>4.6566128730773926E-10</v>
      </c>
      <c r="F13" s="54">
        <v>-2804397.7379999994</v>
      </c>
      <c r="G13" s="54">
        <v>-2898758.1809999994</v>
      </c>
      <c r="H13" s="54">
        <v>-2921878.3239999996</v>
      </c>
      <c r="I13" s="54">
        <v>-3009595.5629999996</v>
      </c>
      <c r="J13" s="54">
        <v>-3130386.5159999998</v>
      </c>
      <c r="K13" s="54">
        <v>-3047986.835</v>
      </c>
      <c r="L13" s="54">
        <v>-3107191.4780000001</v>
      </c>
      <c r="M13" s="54">
        <v>-3144721.4539999999</v>
      </c>
      <c r="N13" s="54">
        <v>-3140033.0159999998</v>
      </c>
      <c r="O13" s="54">
        <v>-3085763.966</v>
      </c>
      <c r="P13" s="54">
        <v>-3123136.662</v>
      </c>
      <c r="Q13" s="54"/>
      <c r="R13" s="54">
        <v>0</v>
      </c>
      <c r="S13" s="54">
        <v>0</v>
      </c>
      <c r="T13" s="54">
        <v>0</v>
      </c>
      <c r="U13" s="54">
        <v>-645.29192000000023</v>
      </c>
      <c r="V13" s="54">
        <v>-649.03196000000025</v>
      </c>
      <c r="W13" s="54">
        <v>-637.26166000000023</v>
      </c>
      <c r="X13" s="54">
        <v>-639.84002000000021</v>
      </c>
      <c r="Y13" s="54">
        <v>-654.25078000000019</v>
      </c>
      <c r="Z13" s="54">
        <v>-637.94364000000019</v>
      </c>
      <c r="AA13" s="54">
        <v>-659.65675000000022</v>
      </c>
      <c r="AB13" s="54">
        <v>-658.81914000000017</v>
      </c>
      <c r="AC13" s="54">
        <v>-693.31929000000014</v>
      </c>
      <c r="AD13" s="54">
        <v>-720.21731000000011</v>
      </c>
      <c r="AE13" s="54">
        <v>-720.50763000000006</v>
      </c>
    </row>
    <row r="14" spans="1:31" hidden="1" x14ac:dyDescent="0.25">
      <c r="A14" s="78" t="s">
        <v>75</v>
      </c>
      <c r="B14" s="54" t="s">
        <v>76</v>
      </c>
      <c r="C14" s="54">
        <v>0</v>
      </c>
      <c r="D14" s="54">
        <v>0</v>
      </c>
      <c r="E14" s="54">
        <v>0</v>
      </c>
      <c r="F14" s="54">
        <v>0</v>
      </c>
      <c r="G14" s="54">
        <v>0</v>
      </c>
      <c r="H14" s="54">
        <v>0</v>
      </c>
      <c r="I14" s="54">
        <v>0</v>
      </c>
      <c r="J14" s="54">
        <v>0</v>
      </c>
      <c r="K14" s="54">
        <v>0</v>
      </c>
      <c r="L14" s="54">
        <v>0</v>
      </c>
      <c r="M14" s="54">
        <v>0</v>
      </c>
      <c r="N14" s="54">
        <v>0</v>
      </c>
      <c r="O14" s="54">
        <v>0</v>
      </c>
      <c r="P14" s="54">
        <v>0</v>
      </c>
      <c r="Q14" s="54"/>
      <c r="R14" s="54">
        <v>0</v>
      </c>
      <c r="S14" s="54">
        <v>0</v>
      </c>
      <c r="T14" s="54">
        <v>0</v>
      </c>
      <c r="U14" s="54">
        <v>0</v>
      </c>
      <c r="V14" s="54">
        <v>0</v>
      </c>
      <c r="W14" s="54">
        <v>0</v>
      </c>
      <c r="X14" s="54">
        <v>0</v>
      </c>
      <c r="Y14" s="54">
        <v>0</v>
      </c>
      <c r="Z14" s="54">
        <v>0</v>
      </c>
      <c r="AA14" s="54">
        <v>0</v>
      </c>
      <c r="AB14" s="54">
        <v>0</v>
      </c>
      <c r="AC14" s="54">
        <v>0</v>
      </c>
      <c r="AD14" s="54">
        <v>0</v>
      </c>
      <c r="AE14" s="54">
        <v>0</v>
      </c>
    </row>
    <row r="15" spans="1:31" hidden="1" x14ac:dyDescent="0.25">
      <c r="A15" s="78" t="s">
        <v>77</v>
      </c>
      <c r="B15" s="54" t="s">
        <v>78</v>
      </c>
      <c r="C15" s="54">
        <v>0</v>
      </c>
      <c r="D15" s="54">
        <v>0</v>
      </c>
      <c r="E15" s="54">
        <v>0</v>
      </c>
      <c r="F15" s="54">
        <v>0</v>
      </c>
      <c r="G15" s="54">
        <v>0</v>
      </c>
      <c r="H15" s="54">
        <v>0</v>
      </c>
      <c r="I15" s="54">
        <v>0</v>
      </c>
      <c r="J15" s="54">
        <v>0</v>
      </c>
      <c r="K15" s="54">
        <v>0</v>
      </c>
      <c r="L15" s="54">
        <v>0</v>
      </c>
      <c r="M15" s="54">
        <v>0</v>
      </c>
      <c r="N15" s="54">
        <v>0</v>
      </c>
      <c r="O15" s="54">
        <v>0</v>
      </c>
      <c r="P15" s="54">
        <v>0</v>
      </c>
      <c r="Q15" s="54"/>
      <c r="R15" s="54">
        <v>0</v>
      </c>
      <c r="S15" s="54">
        <v>0</v>
      </c>
      <c r="T15" s="54">
        <v>0</v>
      </c>
      <c r="U15" s="54">
        <v>0</v>
      </c>
      <c r="V15" s="54">
        <v>0</v>
      </c>
      <c r="W15" s="54">
        <v>0</v>
      </c>
      <c r="X15" s="54">
        <v>0</v>
      </c>
      <c r="Y15" s="54">
        <v>0</v>
      </c>
      <c r="Z15" s="54">
        <v>0</v>
      </c>
      <c r="AA15" s="54">
        <v>0</v>
      </c>
      <c r="AB15" s="54">
        <v>0</v>
      </c>
      <c r="AC15" s="54">
        <v>0</v>
      </c>
      <c r="AD15" s="54">
        <v>0</v>
      </c>
      <c r="AE15" s="54">
        <v>0</v>
      </c>
    </row>
    <row r="16" spans="1:31" hidden="1" x14ac:dyDescent="0.25">
      <c r="A16" s="78" t="s">
        <v>79</v>
      </c>
      <c r="B16" s="54" t="s">
        <v>80</v>
      </c>
      <c r="C16" s="54">
        <v>0</v>
      </c>
      <c r="D16" s="54">
        <v>0</v>
      </c>
      <c r="E16" s="54">
        <v>0</v>
      </c>
      <c r="F16" s="54">
        <v>0</v>
      </c>
      <c r="G16" s="54">
        <v>0</v>
      </c>
      <c r="H16" s="54">
        <v>0</v>
      </c>
      <c r="I16" s="54">
        <v>0</v>
      </c>
      <c r="J16" s="54">
        <v>0</v>
      </c>
      <c r="K16" s="54">
        <v>0</v>
      </c>
      <c r="L16" s="54">
        <v>0</v>
      </c>
      <c r="M16" s="54">
        <v>0</v>
      </c>
      <c r="N16" s="54">
        <v>0</v>
      </c>
      <c r="O16" s="54">
        <v>0</v>
      </c>
      <c r="P16" s="54">
        <v>0</v>
      </c>
      <c r="Q16" s="54"/>
      <c r="R16" s="54">
        <v>0</v>
      </c>
      <c r="S16" s="54">
        <v>0</v>
      </c>
      <c r="T16" s="54">
        <v>0</v>
      </c>
      <c r="U16" s="54">
        <v>0</v>
      </c>
      <c r="V16" s="54">
        <v>0</v>
      </c>
      <c r="W16" s="54">
        <v>0</v>
      </c>
      <c r="X16" s="54">
        <v>0</v>
      </c>
      <c r="Y16" s="54">
        <v>0</v>
      </c>
      <c r="Z16" s="54">
        <v>0</v>
      </c>
      <c r="AA16" s="54">
        <v>0</v>
      </c>
      <c r="AB16" s="54">
        <v>0</v>
      </c>
      <c r="AC16" s="54">
        <v>0</v>
      </c>
      <c r="AD16" s="54">
        <v>0</v>
      </c>
      <c r="AE16" s="54">
        <v>0</v>
      </c>
    </row>
    <row r="17" spans="1:32" hidden="1" x14ac:dyDescent="0.25">
      <c r="A17" s="54" t="s">
        <v>81</v>
      </c>
      <c r="B17" s="54" t="s">
        <v>82</v>
      </c>
      <c r="C17" s="54">
        <v>0</v>
      </c>
      <c r="D17" s="54">
        <v>0</v>
      </c>
      <c r="E17" s="54">
        <v>4.6566128730773926E-10</v>
      </c>
      <c r="F17" s="54">
        <v>-2804397.7379999994</v>
      </c>
      <c r="G17" s="54">
        <v>-2898758.1809999994</v>
      </c>
      <c r="H17" s="54">
        <v>-2921878.3239999996</v>
      </c>
      <c r="I17" s="54">
        <v>-3009595.5629999996</v>
      </c>
      <c r="J17" s="54">
        <v>-3130386.5159999998</v>
      </c>
      <c r="K17" s="54">
        <v>-3047986.835</v>
      </c>
      <c r="L17" s="54">
        <v>-3107191.4780000001</v>
      </c>
      <c r="M17" s="54">
        <v>-3144721.4539999999</v>
      </c>
      <c r="N17" s="54">
        <v>-3140033.0159999998</v>
      </c>
      <c r="O17" s="54">
        <v>-3085763.966</v>
      </c>
      <c r="P17" s="54">
        <v>-3123136.662</v>
      </c>
      <c r="Q17" s="54"/>
      <c r="R17" s="54">
        <v>0</v>
      </c>
      <c r="S17" s="54">
        <v>0</v>
      </c>
      <c r="T17" s="54">
        <v>0</v>
      </c>
      <c r="U17" s="54">
        <v>-645.29192000000023</v>
      </c>
      <c r="V17" s="54">
        <v>-649.03196000000025</v>
      </c>
      <c r="W17" s="54">
        <v>-637.26166000000023</v>
      </c>
      <c r="X17" s="54">
        <v>-639.84002000000021</v>
      </c>
      <c r="Y17" s="54">
        <v>-654.25078000000019</v>
      </c>
      <c r="Z17" s="54">
        <v>-637.94364000000019</v>
      </c>
      <c r="AA17" s="54">
        <v>-659.65675000000022</v>
      </c>
      <c r="AB17" s="54">
        <v>-658.81914000000017</v>
      </c>
      <c r="AC17" s="54">
        <v>-693.31929000000014</v>
      </c>
      <c r="AD17" s="54">
        <v>-720.21731000000011</v>
      </c>
      <c r="AE17" s="54">
        <v>-720.50763000000006</v>
      </c>
    </row>
    <row r="18" spans="1:32" hidden="1" x14ac:dyDescent="0.25">
      <c r="A18" s="54" t="s">
        <v>83</v>
      </c>
      <c r="B18" s="54" t="s">
        <v>84</v>
      </c>
      <c r="C18" s="54">
        <v>0</v>
      </c>
      <c r="D18" s="54">
        <v>0</v>
      </c>
      <c r="E18" s="54">
        <v>0</v>
      </c>
      <c r="F18" s="54">
        <v>0</v>
      </c>
      <c r="G18" s="54">
        <v>0</v>
      </c>
      <c r="H18" s="54">
        <v>0</v>
      </c>
      <c r="I18" s="54">
        <v>0</v>
      </c>
      <c r="J18" s="54">
        <v>0</v>
      </c>
      <c r="K18" s="54">
        <v>0</v>
      </c>
      <c r="L18" s="54">
        <v>0</v>
      </c>
      <c r="M18" s="54">
        <v>0</v>
      </c>
      <c r="N18" s="54">
        <v>0</v>
      </c>
      <c r="O18" s="54">
        <v>0</v>
      </c>
      <c r="P18" s="54">
        <v>0</v>
      </c>
      <c r="Q18" s="54"/>
      <c r="R18" s="54">
        <v>0</v>
      </c>
      <c r="S18" s="54">
        <v>0</v>
      </c>
      <c r="T18" s="54">
        <v>0</v>
      </c>
      <c r="U18" s="54">
        <v>0</v>
      </c>
      <c r="V18" s="54">
        <v>0</v>
      </c>
      <c r="W18" s="54">
        <v>0</v>
      </c>
      <c r="X18" s="54">
        <v>0</v>
      </c>
      <c r="Y18" s="54">
        <v>0</v>
      </c>
      <c r="Z18" s="54">
        <v>0</v>
      </c>
      <c r="AA18" s="54">
        <v>0</v>
      </c>
      <c r="AB18" s="54">
        <v>0</v>
      </c>
      <c r="AC18" s="54">
        <v>0</v>
      </c>
      <c r="AD18" s="54">
        <v>0</v>
      </c>
      <c r="AE18" s="54">
        <v>0</v>
      </c>
    </row>
    <row r="19" spans="1:32" hidden="1" x14ac:dyDescent="0.25">
      <c r="A19" s="54" t="s">
        <v>85</v>
      </c>
      <c r="B19" s="54" t="s">
        <v>86</v>
      </c>
      <c r="C19" s="54">
        <v>0</v>
      </c>
      <c r="D19" s="54">
        <v>0</v>
      </c>
      <c r="E19" s="54">
        <v>0</v>
      </c>
      <c r="F19" s="54">
        <v>0</v>
      </c>
      <c r="G19" s="54">
        <v>0</v>
      </c>
      <c r="H19" s="54">
        <v>0</v>
      </c>
      <c r="I19" s="54">
        <v>0</v>
      </c>
      <c r="J19" s="54">
        <v>0</v>
      </c>
      <c r="K19" s="54">
        <v>0</v>
      </c>
      <c r="L19" s="54">
        <v>0</v>
      </c>
      <c r="M19" s="54">
        <v>0</v>
      </c>
      <c r="N19" s="54">
        <v>0</v>
      </c>
      <c r="O19" s="54">
        <v>0</v>
      </c>
      <c r="P19" s="54">
        <v>0</v>
      </c>
      <c r="Q19" s="54"/>
      <c r="R19" s="54">
        <v>0</v>
      </c>
      <c r="S19" s="54">
        <v>0</v>
      </c>
      <c r="T19" s="54">
        <v>0</v>
      </c>
      <c r="U19" s="54">
        <v>0</v>
      </c>
      <c r="V19" s="54">
        <v>0</v>
      </c>
      <c r="W19" s="54">
        <v>0</v>
      </c>
      <c r="X19" s="54">
        <v>0</v>
      </c>
      <c r="Y19" s="54">
        <v>0</v>
      </c>
      <c r="Z19" s="54">
        <v>0</v>
      </c>
      <c r="AA19" s="54">
        <v>0</v>
      </c>
      <c r="AB19" s="54">
        <v>0</v>
      </c>
      <c r="AC19" s="54">
        <v>0</v>
      </c>
      <c r="AD19" s="54">
        <v>0</v>
      </c>
      <c r="AE19" s="54">
        <v>0</v>
      </c>
    </row>
    <row r="20" spans="1:32" hidden="1" x14ac:dyDescent="0.25">
      <c r="A20" s="54" t="s">
        <v>87</v>
      </c>
      <c r="B20" s="54" t="s">
        <v>88</v>
      </c>
      <c r="C20" s="54">
        <v>0</v>
      </c>
      <c r="D20" s="54">
        <v>0</v>
      </c>
      <c r="E20" s="54">
        <v>0</v>
      </c>
      <c r="F20" s="54">
        <v>0</v>
      </c>
      <c r="G20" s="54">
        <v>0</v>
      </c>
      <c r="H20" s="54">
        <v>0</v>
      </c>
      <c r="I20" s="54">
        <v>0</v>
      </c>
      <c r="J20" s="54">
        <v>0</v>
      </c>
      <c r="K20" s="54">
        <v>0</v>
      </c>
      <c r="L20" s="54">
        <v>0</v>
      </c>
      <c r="M20" s="54">
        <v>0</v>
      </c>
      <c r="N20" s="54">
        <v>0</v>
      </c>
      <c r="O20" s="54">
        <v>0</v>
      </c>
      <c r="P20" s="54">
        <v>0</v>
      </c>
      <c r="Q20" s="54"/>
      <c r="R20" s="54">
        <v>0</v>
      </c>
      <c r="S20" s="54">
        <v>0</v>
      </c>
      <c r="T20" s="54">
        <v>0</v>
      </c>
      <c r="U20" s="54">
        <v>0</v>
      </c>
      <c r="V20" s="54">
        <v>0</v>
      </c>
      <c r="W20" s="54">
        <v>0</v>
      </c>
      <c r="X20" s="54">
        <v>0</v>
      </c>
      <c r="Y20" s="54">
        <v>0</v>
      </c>
      <c r="Z20" s="54">
        <v>0</v>
      </c>
      <c r="AA20" s="54">
        <v>0</v>
      </c>
      <c r="AB20" s="54">
        <v>0</v>
      </c>
      <c r="AC20" s="54">
        <v>0</v>
      </c>
      <c r="AD20" s="54">
        <v>0</v>
      </c>
      <c r="AE20" s="54">
        <v>0</v>
      </c>
    </row>
    <row r="21" spans="1:32" x14ac:dyDescent="0.25">
      <c r="A21" s="54" t="s">
        <v>89</v>
      </c>
      <c r="B21" s="54" t="s">
        <v>90</v>
      </c>
      <c r="C21" s="54">
        <v>0</v>
      </c>
      <c r="D21" s="54">
        <v>0</v>
      </c>
      <c r="E21" s="54">
        <v>4.6566128730773926E-10</v>
      </c>
      <c r="F21" s="54">
        <v>-2804397.7379999994</v>
      </c>
      <c r="G21" s="54">
        <v>-2898758.1809999994</v>
      </c>
      <c r="H21" s="54">
        <v>-2921878.3239999996</v>
      </c>
      <c r="I21" s="54">
        <v>-3009595.5629999996</v>
      </c>
      <c r="J21" s="54">
        <v>-3130386.5159999998</v>
      </c>
      <c r="K21" s="54">
        <v>-3047986.835</v>
      </c>
      <c r="L21" s="54">
        <v>-3107191.4780000001</v>
      </c>
      <c r="M21" s="54">
        <v>-3144721.4539999999</v>
      </c>
      <c r="N21" s="54">
        <v>-3140033.0159999998</v>
      </c>
      <c r="O21" s="54">
        <v>-3085763.966</v>
      </c>
      <c r="P21" s="54">
        <v>-3123136.662</v>
      </c>
      <c r="Q21" s="54"/>
      <c r="R21" s="54">
        <v>0</v>
      </c>
      <c r="S21" s="54">
        <v>0</v>
      </c>
      <c r="T21" s="54">
        <v>0</v>
      </c>
      <c r="U21" s="54">
        <v>-645.29192000000023</v>
      </c>
      <c r="V21" s="54">
        <v>-649.03196000000025</v>
      </c>
      <c r="W21" s="54">
        <v>-637.26166000000023</v>
      </c>
      <c r="X21" s="54">
        <v>-639.84002000000021</v>
      </c>
      <c r="Y21" s="54">
        <v>-654.25078000000019</v>
      </c>
      <c r="Z21" s="54">
        <v>-637.94364000000019</v>
      </c>
      <c r="AA21" s="54">
        <v>-659.65675000000022</v>
      </c>
      <c r="AB21" s="54">
        <v>-658.81914000000017</v>
      </c>
      <c r="AC21" s="54">
        <v>-693.31929000000014</v>
      </c>
      <c r="AD21" s="54">
        <v>-720.21731000000011</v>
      </c>
      <c r="AE21" s="54">
        <v>-720.50763000000006</v>
      </c>
    </row>
    <row r="22" spans="1:32" x14ac:dyDescent="0.25">
      <c r="A22" s="54" t="s">
        <v>91</v>
      </c>
      <c r="B22" s="54" t="s">
        <v>92</v>
      </c>
      <c r="C22" s="55">
        <v>-233815.448</v>
      </c>
      <c r="D22" s="55">
        <v>-205147.81200000001</v>
      </c>
      <c r="E22" s="55">
        <v>-251991.81999999989</v>
      </c>
      <c r="F22" s="55">
        <v>-709004.77099999995</v>
      </c>
      <c r="G22" s="55">
        <v>-703180.78200000001</v>
      </c>
      <c r="H22" s="55">
        <v>-709478.98400000005</v>
      </c>
      <c r="I22" s="55">
        <v>-697554.29500000004</v>
      </c>
      <c r="J22" s="55">
        <v>-669905.05200000003</v>
      </c>
      <c r="K22" s="55">
        <v>-657595.402</v>
      </c>
      <c r="L22" s="55">
        <v>-675633.853</v>
      </c>
      <c r="M22" s="55">
        <v>-657451.11100000003</v>
      </c>
      <c r="N22" s="55">
        <v>-674664.6</v>
      </c>
      <c r="O22" s="55">
        <v>-639887.87099999993</v>
      </c>
      <c r="P22" s="55">
        <v>-600285.28199999989</v>
      </c>
      <c r="Q22" s="55"/>
      <c r="R22" s="55">
        <v>-52.585079999999991</v>
      </c>
      <c r="S22" s="55">
        <v>-46.978839999999991</v>
      </c>
      <c r="T22" s="55">
        <v>-57.101359999999957</v>
      </c>
      <c r="U22" s="55">
        <v>-163.14199999999997</v>
      </c>
      <c r="V22" s="55">
        <v>-157.44216999999998</v>
      </c>
      <c r="W22" s="55">
        <v>-154.73736999999997</v>
      </c>
      <c r="X22" s="55">
        <v>-148.30003999999997</v>
      </c>
      <c r="Y22" s="55">
        <v>-140.01016999999996</v>
      </c>
      <c r="Z22" s="55">
        <v>-137.63472999999996</v>
      </c>
      <c r="AA22" s="55">
        <v>-143.43704999999997</v>
      </c>
      <c r="AB22" s="55">
        <v>-137.73600999999996</v>
      </c>
      <c r="AC22" s="55">
        <v>-148.96594999999996</v>
      </c>
      <c r="AD22" s="55">
        <v>-149.34983999999997</v>
      </c>
      <c r="AE22" s="55">
        <v>-138.48581999999996</v>
      </c>
    </row>
    <row r="23" spans="1:32" s="75" customFormat="1" x14ac:dyDescent="0.25">
      <c r="A23" s="54" t="s">
        <v>93</v>
      </c>
      <c r="B23" s="54" t="s">
        <v>94</v>
      </c>
      <c r="C23" s="55">
        <v>-233815.448</v>
      </c>
      <c r="D23" s="55">
        <v>-205147.81200000001</v>
      </c>
      <c r="E23" s="55">
        <v>-251991.81999999989</v>
      </c>
      <c r="F23" s="55">
        <v>-709004.77099999995</v>
      </c>
      <c r="G23" s="55">
        <v>-703180.78200000001</v>
      </c>
      <c r="H23" s="55">
        <v>-709478.98400000005</v>
      </c>
      <c r="I23" s="55">
        <v>-697554.29500000004</v>
      </c>
      <c r="J23" s="55">
        <v>-669905.05200000003</v>
      </c>
      <c r="K23" s="55">
        <v>-657595.402</v>
      </c>
      <c r="L23" s="55">
        <v>-675633.853</v>
      </c>
      <c r="M23" s="55">
        <v>-657451.11100000003</v>
      </c>
      <c r="N23" s="55">
        <v>-674664.6</v>
      </c>
      <c r="O23" s="55">
        <v>-639887.87099999993</v>
      </c>
      <c r="P23" s="55">
        <v>-600285.28199999989</v>
      </c>
      <c r="Q23" s="55"/>
      <c r="R23" s="55">
        <v>-52.585079999999991</v>
      </c>
      <c r="S23" s="55">
        <v>-46.978839999999991</v>
      </c>
      <c r="T23" s="55">
        <v>-57.101359999999957</v>
      </c>
      <c r="U23" s="55">
        <v>-163.14199999999997</v>
      </c>
      <c r="V23" s="55">
        <v>-157.44216999999998</v>
      </c>
      <c r="W23" s="55">
        <v>-154.73736999999997</v>
      </c>
      <c r="X23" s="55">
        <v>-148.30003999999997</v>
      </c>
      <c r="Y23" s="55">
        <v>-140.01016999999996</v>
      </c>
      <c r="Z23" s="55">
        <v>-137.63472999999996</v>
      </c>
      <c r="AA23" s="55">
        <v>-143.43704999999997</v>
      </c>
      <c r="AB23" s="55">
        <v>-137.73600999999996</v>
      </c>
      <c r="AC23" s="55">
        <v>-148.96594999999996</v>
      </c>
      <c r="AD23" s="55">
        <v>-149.34983999999997</v>
      </c>
      <c r="AE23" s="55">
        <v>-138.48581999999996</v>
      </c>
    </row>
    <row r="24" spans="1:32" x14ac:dyDescent="0.25">
      <c r="A24" s="54" t="s">
        <v>46</v>
      </c>
      <c r="B24" s="54" t="s">
        <v>46</v>
      </c>
      <c r="C24" s="82">
        <v>-233815.448</v>
      </c>
      <c r="D24" s="55">
        <v>-205147.81200000001</v>
      </c>
      <c r="E24" s="55">
        <v>-251991.8200000003</v>
      </c>
      <c r="F24" s="55">
        <v>-3513402.5090000001</v>
      </c>
      <c r="G24" s="55">
        <v>-3601938.963</v>
      </c>
      <c r="H24" s="55">
        <v>-3631357.3080000002</v>
      </c>
      <c r="I24" s="55">
        <v>-3707149.858</v>
      </c>
      <c r="J24" s="55">
        <v>-3800291.568</v>
      </c>
      <c r="K24" s="55">
        <v>-3705582.2370000002</v>
      </c>
      <c r="L24" s="55">
        <v>-3782825.3310000002</v>
      </c>
      <c r="M24" s="55">
        <v>-3802172.5650000004</v>
      </c>
      <c r="N24" s="55">
        <v>-3814697.6160000004</v>
      </c>
      <c r="O24" s="55">
        <v>-3725651.8370000003</v>
      </c>
      <c r="P24" s="55">
        <v>-3723421.9440000001</v>
      </c>
      <c r="Q24" s="55"/>
      <c r="R24" s="83">
        <v>-52.585079999999991</v>
      </c>
      <c r="S24" s="55">
        <v>-46.978839999999991</v>
      </c>
      <c r="T24" s="55">
        <v>-57.101359999999772</v>
      </c>
      <c r="U24" s="55">
        <v>-808.43391999999983</v>
      </c>
      <c r="V24" s="55">
        <v>-806.47412999999983</v>
      </c>
      <c r="W24" s="55">
        <v>-791.99902999999983</v>
      </c>
      <c r="X24" s="55">
        <v>-788.14005999999983</v>
      </c>
      <c r="Y24" s="55">
        <v>-794.26094999999987</v>
      </c>
      <c r="Z24" s="55">
        <v>-775.57836999999984</v>
      </c>
      <c r="AA24" s="55">
        <v>-803.09379999999987</v>
      </c>
      <c r="AB24" s="55">
        <v>-796.55514999999991</v>
      </c>
      <c r="AC24" s="55">
        <v>-842.28523999999993</v>
      </c>
      <c r="AD24" s="55">
        <v>-869.56714999999997</v>
      </c>
      <c r="AE24" s="55">
        <v>-858.99344999999994</v>
      </c>
    </row>
    <row r="25" spans="1:32" x14ac:dyDescent="0.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row>
    <row r="26" spans="1:32" ht="12" customHeight="1" x14ac:dyDescent="0.25">
      <c r="A26" s="54"/>
      <c r="B26" s="54"/>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row>
    <row r="27" spans="1:32" x14ac:dyDescent="0.25">
      <c r="A27" s="54"/>
      <c r="B27" s="54"/>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06d80cc428971849cb5cfe5df495203c">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d45f7a2125e0aff5fe1efeaa82a0ec60"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Props1.xml><?xml version="1.0" encoding="utf-8"?>
<ds:datastoreItem xmlns:ds="http://schemas.openxmlformats.org/officeDocument/2006/customXml" ds:itemID="{92C61729-8CDF-4EC8-A53A-2739696D6E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813a71-ed45-4723-a8fb-02e2d19c60c4"/>
    <ds:schemaRef ds:uri="f54c56e8-d46b-4105-983d-5823d8fd43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B04F0E-205B-4C5C-9626-04DFD1909959}">
  <ds:schemaRefs>
    <ds:schemaRef ds:uri="http://schemas.microsoft.com/sharepoint/v3/contenttype/forms"/>
  </ds:schemaRefs>
</ds:datastoreItem>
</file>

<file path=customXml/itemProps3.xml><?xml version="1.0" encoding="utf-8"?>
<ds:datastoreItem xmlns:ds="http://schemas.openxmlformats.org/officeDocument/2006/customXml" ds:itemID="{622E4D62-3004-460A-B58C-A7887D84B698}">
  <ds:schemaRefs>
    <ds:schemaRef ds:uri="http://schemas.microsoft.com/office/2006/metadata/properties"/>
    <ds:schemaRef ds:uri="http://schemas.microsoft.com/office/infopath/2007/PartnerControls"/>
    <ds:schemaRef ds:uri="f54c56e8-d46b-4105-983d-5823d8fd43e9"/>
    <ds:schemaRef ds:uri="d5813a71-ed45-4723-a8fb-02e2d19c6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DEUDA FEBRERO 26</vt:lpstr>
      <vt:lpstr>FOCUS</vt:lpstr>
      <vt:lpstr>PROV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Nancy Valencia Varela</cp:lastModifiedBy>
  <cp:revision/>
  <dcterms:created xsi:type="dcterms:W3CDTF">2022-02-08T13:51:56Z</dcterms:created>
  <dcterms:modified xsi:type="dcterms:W3CDTF">2026-03-10T19:12:28Z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