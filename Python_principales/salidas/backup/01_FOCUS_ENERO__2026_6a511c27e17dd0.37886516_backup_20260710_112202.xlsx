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01 ENERO 2026/"/>
    </mc:Choice>
  </mc:AlternateContent>
  <xr:revisionPtr revIDLastSave="7" documentId="8_{471FAAAF-FF5E-4C40-8779-544843EA630B}" xr6:coauthVersionLast="47" xr6:coauthVersionMax="47" xr10:uidLastSave="{28CD581E-4A2D-40A4-92CF-B0F5E99A9F0E}"/>
  <bookViews>
    <workbookView xWindow="-120" yWindow="-120" windowWidth="20730" windowHeight="11040" xr2:uid="{B303AFCC-524D-4A39-A3E8-376B7B137387}"/>
  </bookViews>
  <sheets>
    <sheet name="MODELO DEUDA ENERO 26" sheetId="3" r:id="rId1"/>
    <sheet name="FOCUS" sheetId="1" r:id="rId2"/>
    <sheet name="PROV"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3" l="1"/>
  <c r="L50" i="3" s="1"/>
  <c r="L48" i="3" s="1"/>
  <c r="H49" i="3"/>
  <c r="F49" i="3"/>
  <c r="D49" i="3"/>
  <c r="D50" i="3" s="1"/>
  <c r="J50" i="3" s="1"/>
  <c r="J48" i="3" s="1"/>
  <c r="H48" i="3"/>
  <c r="L47" i="3"/>
  <c r="J47" i="3"/>
  <c r="H47" i="3"/>
  <c r="L46" i="3"/>
  <c r="J46" i="3"/>
  <c r="H46" i="3"/>
  <c r="L45" i="3"/>
  <c r="J45" i="3"/>
  <c r="H45" i="3"/>
  <c r="L44" i="3"/>
  <c r="J44" i="3"/>
  <c r="N44" i="3" s="1"/>
  <c r="H42" i="3"/>
  <c r="F42" i="3"/>
  <c r="F43" i="3" s="1"/>
  <c r="D42" i="3"/>
  <c r="D43" i="3" s="1"/>
  <c r="H41" i="3"/>
  <c r="L40" i="3"/>
  <c r="J40" i="3"/>
  <c r="L39" i="3"/>
  <c r="J39" i="3"/>
  <c r="N39" i="3" s="1"/>
  <c r="L38" i="3"/>
  <c r="J38" i="3"/>
  <c r="L37" i="3"/>
  <c r="J37" i="3"/>
  <c r="H37" i="3"/>
  <c r="L36" i="3"/>
  <c r="J36" i="3"/>
  <c r="N36" i="3" s="1"/>
  <c r="H36" i="3"/>
  <c r="H43" i="3" s="1"/>
  <c r="L35" i="3"/>
  <c r="J35" i="3"/>
  <c r="H50" i="3" l="1"/>
  <c r="H51" i="3" s="1"/>
  <c r="N37" i="3"/>
  <c r="N38" i="3"/>
  <c r="N45" i="3"/>
  <c r="N46" i="3"/>
  <c r="L49" i="3"/>
  <c r="N35" i="3"/>
  <c r="N48" i="3"/>
  <c r="J49" i="3"/>
  <c r="D51" i="3"/>
  <c r="J43" i="3"/>
  <c r="L43" i="3"/>
  <c r="F51" i="3"/>
  <c r="N47" i="3"/>
  <c r="N40" i="3"/>
  <c r="N49" i="3" l="1"/>
  <c r="N50" i="3" s="1"/>
  <c r="J51" i="3"/>
  <c r="J41" i="3"/>
  <c r="L51" i="3"/>
  <c r="L41" i="3"/>
  <c r="L42" i="3" s="1"/>
  <c r="N41" i="3" l="1"/>
  <c r="N42" i="3" s="1"/>
  <c r="N43" i="3" s="1"/>
  <c r="N51" i="3" s="1"/>
  <c r="J42" i="3"/>
  <c r="J10" i="3" l="1"/>
  <c r="C15" i="1" l="1"/>
  <c r="O15" i="1"/>
  <c r="N15" i="1"/>
  <c r="M15" i="1"/>
  <c r="L15" i="1"/>
  <c r="K15" i="1"/>
  <c r="J15" i="1"/>
  <c r="I15" i="1"/>
  <c r="H15" i="1"/>
  <c r="G15" i="1"/>
  <c r="F15" i="1"/>
  <c r="E15" i="1"/>
  <c r="D15" i="1"/>
  <c r="E52" i="3" l="1"/>
  <c r="G52" i="3"/>
  <c r="I52" i="3"/>
  <c r="F17" i="3"/>
  <c r="H15" i="3"/>
  <c r="D22" i="3" l="1"/>
  <c r="D30" i="3" s="1"/>
  <c r="H16" i="3" l="1"/>
  <c r="F28" i="3" l="1"/>
  <c r="F29" i="3" s="1"/>
  <c r="L29" i="3" s="1"/>
  <c r="D28" i="3"/>
  <c r="D29" i="3" s="1"/>
  <c r="H27" i="3"/>
  <c r="H26" i="3"/>
  <c r="H28" i="3" s="1"/>
  <c r="H25" i="3"/>
  <c r="H24" i="3"/>
  <c r="L23" i="3"/>
  <c r="J23" i="3"/>
  <c r="J22" i="3"/>
  <c r="F21" i="3"/>
  <c r="D21" i="3"/>
  <c r="H20" i="3"/>
  <c r="H19" i="3"/>
  <c r="H21" i="3" s="1"/>
  <c r="H18" i="3"/>
  <c r="H22" i="3" s="1"/>
  <c r="J17" i="3"/>
  <c r="J14" i="3"/>
  <c r="L14" i="3"/>
  <c r="N23" i="3" l="1"/>
  <c r="F22" i="3"/>
  <c r="L17" i="3"/>
  <c r="N17" i="3" s="1"/>
  <c r="N14" i="3"/>
  <c r="D52" i="3"/>
  <c r="J29" i="3"/>
  <c r="H29" i="3"/>
  <c r="H30" i="3" l="1"/>
  <c r="H52" i="3" s="1"/>
  <c r="J30" i="3"/>
  <c r="L22" i="3"/>
  <c r="F30" i="3"/>
  <c r="F52" i="3" s="1"/>
  <c r="L30" i="3" l="1"/>
  <c r="H10" i="3" l="1"/>
  <c r="H7" i="3"/>
  <c r="L15" i="3" l="1"/>
  <c r="L25" i="3"/>
  <c r="L18" i="3"/>
  <c r="J15" i="3"/>
  <c r="J25" i="3"/>
  <c r="N25" i="3" s="1"/>
  <c r="J18" i="3"/>
  <c r="N18" i="3" s="1"/>
  <c r="L16" i="3"/>
  <c r="L19" i="3"/>
  <c r="J16" i="3"/>
  <c r="L24" i="3"/>
  <c r="J24" i="3"/>
  <c r="L26" i="3"/>
  <c r="J26" i="3"/>
  <c r="J19" i="3"/>
  <c r="N26" i="3" l="1"/>
  <c r="J20" i="3"/>
  <c r="N15" i="3"/>
  <c r="N24" i="3"/>
  <c r="J27" i="3"/>
  <c r="L27" i="3"/>
  <c r="L28" i="3" s="1"/>
  <c r="N19" i="3"/>
  <c r="N16" i="3"/>
  <c r="L20" i="3"/>
  <c r="L21" i="3" s="1"/>
  <c r="N20" i="3" l="1"/>
  <c r="N21" i="3" s="1"/>
  <c r="N22" i="3" s="1"/>
  <c r="N27" i="3"/>
  <c r="N28" i="3" s="1"/>
  <c r="N29" i="3" s="1"/>
  <c r="J28" i="3"/>
  <c r="J21" i="3"/>
  <c r="N3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s>
  <commentList>
    <comment ref="H7" authorId="0" shapeId="0" xr:uid="{F43CCB8C-7C70-4D10-9872-9215D7A976C1}">
      <text>
        <r>
          <rPr>
            <b/>
            <sz val="9"/>
            <color indexed="81"/>
            <rFont val="Tahoma"/>
            <family val="2"/>
          </rPr>
          <t>pcriales:</t>
        </r>
        <r>
          <rPr>
            <sz val="9"/>
            <color indexed="81"/>
            <rFont val="Tahoma"/>
            <family val="2"/>
          </rPr>
          <t xml:space="preserve">
EURO</t>
        </r>
      </text>
    </comment>
    <comment ref="H8" authorId="0" shapeId="0" xr:uid="{80FD3B22-9CFB-46BB-94C1-614D580EE64D}">
      <text>
        <r>
          <rPr>
            <b/>
            <sz val="9"/>
            <color indexed="81"/>
            <rFont val="Tahoma"/>
            <family val="2"/>
          </rPr>
          <t>pcriales:</t>
        </r>
        <r>
          <rPr>
            <sz val="9"/>
            <color indexed="81"/>
            <rFont val="Tahoma"/>
            <family val="2"/>
          </rPr>
          <t xml:space="preserve">
EURO</t>
        </r>
      </text>
    </comment>
  </commentList>
</comments>
</file>

<file path=xl/sharedStrings.xml><?xml version="1.0" encoding="utf-8"?>
<sst xmlns="http://schemas.openxmlformats.org/spreadsheetml/2006/main" count="441" uniqueCount="115">
  <si>
    <t xml:space="preserve">                                                                                                                    </t>
  </si>
  <si>
    <t>RESUMEN DEUDA NO GRUPO (datos en Miles)</t>
  </si>
  <si>
    <t>LIBRERÍAS COLOMBIA</t>
  </si>
  <si>
    <t>Julio</t>
  </si>
  <si>
    <t>TIPO DE CAMBIO</t>
  </si>
  <si>
    <t>CIERRE</t>
  </si>
  <si>
    <t>Junio</t>
  </si>
  <si>
    <t>Diciembre A-1</t>
  </si>
  <si>
    <t>PROMEDIO</t>
  </si>
  <si>
    <t>MES</t>
  </si>
  <si>
    <t>Datos en Moneda Local</t>
  </si>
  <si>
    <t>Datos en  €</t>
  </si>
  <si>
    <t>Vencida</t>
  </si>
  <si>
    <t>No Vencida</t>
  </si>
  <si>
    <t>Total Deuda</t>
  </si>
  <si>
    <t>Deuda bruta NO Grupo (Inicial)</t>
  </si>
  <si>
    <t>- Cobros del mes</t>
  </si>
  <si>
    <t>+ Facturación del mes</t>
  </si>
  <si>
    <t>+/- Vencidos en el mes</t>
  </si>
  <si>
    <t>+/- Regularizaciones</t>
  </si>
  <si>
    <t>-/+ Actualización cambiaria</t>
  </si>
  <si>
    <t>+/- Ef. Conversión (solo cuadro €)</t>
  </si>
  <si>
    <t xml:space="preserve"> +/- Movimiento Tipo de Cambio</t>
  </si>
  <si>
    <t>Deuda bruta NO Grupo (Final)</t>
  </si>
  <si>
    <t>- Dotaciones Acumuladas (Inicial)</t>
  </si>
  <si>
    <t>- Dotaciones del mes</t>
  </si>
  <si>
    <t>+ Desdotaciones</t>
  </si>
  <si>
    <t>+/- Provisión acumulada (Final)</t>
  </si>
  <si>
    <t>Saldo neto</t>
  </si>
  <si>
    <t>ACUMULADO</t>
  </si>
  <si>
    <t>Deuda bruta NO Grupo (inicial)</t>
  </si>
  <si>
    <t>- Cobros</t>
  </si>
  <si>
    <t>+ Facturación</t>
  </si>
  <si>
    <t>+/- Vencidos</t>
  </si>
  <si>
    <t>- Dotaciones</t>
  </si>
  <si>
    <t>Enero</t>
  </si>
  <si>
    <t>Febrero</t>
  </si>
  <si>
    <t>Marzo</t>
  </si>
  <si>
    <t>Abril</t>
  </si>
  <si>
    <t xml:space="preserve">Mayo </t>
  </si>
  <si>
    <t>Agosto</t>
  </si>
  <si>
    <t>Septiembre</t>
  </si>
  <si>
    <t>Octubre</t>
  </si>
  <si>
    <t>Noviembre</t>
  </si>
  <si>
    <t>Diciembre</t>
  </si>
  <si>
    <t>Área</t>
  </si>
  <si>
    <t>2024</t>
  </si>
  <si>
    <t>InterCo</t>
  </si>
  <si>
    <t>MONEDA LOCAL</t>
  </si>
  <si>
    <t>Euros</t>
  </si>
  <si>
    <t>Marzo_ac</t>
  </si>
  <si>
    <t>Febrero_ac</t>
  </si>
  <si>
    <t>Enero_ac</t>
  </si>
  <si>
    <t>Real</t>
  </si>
  <si>
    <t>FRAS.PDTE.EMITIR</t>
  </si>
  <si>
    <t>CLIENTES NACIONALES</t>
  </si>
  <si>
    <t>CLIENTES NACIONALES ESPECIALES</t>
  </si>
  <si>
    <t>CONSIGNACION CLIENTES NO IDENT</t>
  </si>
  <si>
    <t>CLIENTES EXTRANJERO EUROS</t>
  </si>
  <si>
    <t>CHEQUES DEVUELTOS NACIONALES</t>
  </si>
  <si>
    <t>CHEQUES POSTFECHADOS  NACIONAL</t>
  </si>
  <si>
    <t>BCA10_1</t>
  </si>
  <si>
    <t>CLIENTES POR VENTAS Y PREST.SERVICIOS</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</si>
  <si>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</si>
  <si>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</si>
  <si>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</si>
  <si>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</si>
  <si>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</si>
  <si>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</si>
  <si>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</si>
  <si>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</si>
  <si>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</si>
  <si>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</si>
  <si>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</si>
  <si>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</si>
  <si>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</si>
  <si>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</si>
  <si>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</si>
  <si>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</si>
  <si>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</si>
  <si>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</si>
  <si>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</si>
  <si>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</si>
  <si>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</si>
  <si>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</si>
  <si>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</si>
  <si>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</si>
  <si>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</si>
  <si>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</si>
  <si>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</si>
  <si>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</si>
  <si>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</si>
  <si>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</si>
  <si>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</si>
  <si>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</si>
  <si>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</si>
  <si>
    <t>Diciembre_ac</t>
  </si>
  <si>
    <t>2025</t>
  </si>
  <si>
    <t>43091</t>
  </si>
  <si>
    <t>43001</t>
  </si>
  <si>
    <t>43002</t>
  </si>
  <si>
    <t>43008</t>
  </si>
  <si>
    <t>43042</t>
  </si>
  <si>
    <t>43092</t>
  </si>
  <si>
    <t>43101</t>
  </si>
  <si>
    <t>Abril_ac</t>
  </si>
  <si>
    <t>Mayo_ac</t>
  </si>
  <si>
    <t>Junio_ac</t>
  </si>
  <si>
    <t>Julio_ac</t>
  </si>
  <si>
    <t>Agosto_ac</t>
  </si>
  <si>
    <t>Septiembre_ac</t>
  </si>
  <si>
    <t>Octubre_ac</t>
  </si>
  <si>
    <t>Noviembre_ac</t>
  </si>
  <si>
    <t>2026</t>
  </si>
  <si>
    <t>Diciembre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</si>
</sst>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1" formatCode="_-* #,##0_-;\-* #,##0_-;_-* &quot;-&quot;_-;_-@_-"/>
    <numFmt numFmtId="43" formatCode="_-* #,##0.00_-;\-* #,##0.00_-;_-* &quot;-&quot;??_-;_-@_-"/>
    <numFmt numFmtId="164" formatCode="_-* #,##0.00\ _€_-;\-* #,##0.00\ _€_-;_-* &quot;-&quot;??\ _€_-;_-@_-"/>
    <numFmt numFmtId="165" formatCode="_-* #,##0\ _€_-;\-* #,##0\ _€_-;_-* &quot;-&quot;\ _€_-;_-@_-"/>
    <numFmt numFmtId="166" formatCode="_-* #,##0_-;\-* #,##0_-;_-* &quot;-&quot;??_-;_-@_-"/>
    <numFmt numFmtId="167" formatCode="#,##0.0"/>
    <numFmt numFmtId="168" formatCode="_-* #,##0.00_-;\-* #,##0.00_-;_-* &quot;-&quot;???_-;_-@_-"/>
    <numFmt numFmtId="169" formatCode="_ * #,##0.00_ ;_ * \-#,##0.00_ ;_ * &quot;-&quot;??_ ;_ @_ "/>
    <numFmt numFmtId="170" formatCode="_ * #,##0_ ;_ * \-#,##0_ ;_ * &quot;-&quot;_ ;_ @_ "/>
    <numFmt numFmtId="172" formatCode="_-* #,##0.0000_-;\-* #,##0.0000_-;_-* &quot;-&quot;??_-;_-@_-"/>
  </numFmts>
  <fonts count="32" x14ac:knownFonts="1">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b/>
      <sz val="9"/>
      <color indexed="81"/>
      <name val="Tahoma"/>
      <family val="2"/>
    </font>
    <font>
      <sz val="9"/>
      <color indexed="81"/>
      <name val="Tahoma"/>
      <family val="2"/>
    </font>
    <font>
      <b/>
      <sz val="10"/>
      <color rgb="FF1F497D"/>
      <name val="Arial"/>
      <family val="2"/>
    </font>
    <font>
      <b/>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48">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rgb="FFFCF1AE"/>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2"/>
        <bgColor indexed="64"/>
      </patternFill>
    </fill>
  </fills>
  <borders count="18">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6">
    <xf numFmtId="0" fontId="0" fillId="0" borderId="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 fontId="3" fillId="0" borderId="0"/>
    <xf numFmtId="0" fontId="2" fillId="0" borderId="1" applyNumberFormat="0" applyFill="0" applyAlignment="0" applyProtection="0"/>
    <xf numFmtId="0" fontId="16" fillId="0" borderId="0" applyNumberFormat="0" applyFill="0" applyBorder="0" applyAlignment="0" applyProtection="0"/>
    <xf numFmtId="0" fontId="2" fillId="0" borderId="1" applyNumberFormat="0" applyFill="0" applyAlignment="0" applyProtection="0"/>
    <xf numFmtId="0" fontId="17" fillId="0" borderId="10" applyNumberFormat="0" applyFill="0" applyAlignment="0" applyProtection="0"/>
    <xf numFmtId="0" fontId="18" fillId="0" borderId="11" applyNumberFormat="0" applyFill="0" applyAlignment="0" applyProtection="0"/>
    <xf numFmtId="0" fontId="18" fillId="0" borderId="0" applyNumberFormat="0" applyFill="0" applyBorder="0" applyAlignment="0" applyProtection="0"/>
    <xf numFmtId="0" fontId="19" fillId="10" borderId="0" applyNumberFormat="0" applyBorder="0" applyAlignment="0" applyProtection="0"/>
    <xf numFmtId="0" fontId="20" fillId="11" borderId="0" applyNumberFormat="0" applyBorder="0" applyAlignment="0" applyProtection="0"/>
    <xf numFmtId="0" fontId="21" fillId="12" borderId="0" applyNumberFormat="0" applyBorder="0" applyAlignment="0" applyProtection="0"/>
    <xf numFmtId="0" fontId="22" fillId="13" borderId="12" applyNumberFormat="0" applyAlignment="0" applyProtection="0"/>
    <xf numFmtId="0" fontId="23" fillId="14" borderId="13" applyNumberFormat="0" applyAlignment="0" applyProtection="0"/>
    <xf numFmtId="0" fontId="24" fillId="14" borderId="12" applyNumberFormat="0" applyAlignment="0" applyProtection="0"/>
    <xf numFmtId="0" fontId="25" fillId="0" borderId="14" applyNumberFormat="0" applyFill="0" applyAlignment="0" applyProtection="0"/>
    <xf numFmtId="0" fontId="26" fillId="15" borderId="15" applyNumberFormat="0" applyAlignment="0" applyProtection="0"/>
    <xf numFmtId="0" fontId="27" fillId="0" borderId="0" applyNumberFormat="0" applyFill="0" applyBorder="0" applyAlignment="0" applyProtection="0"/>
    <xf numFmtId="0" fontId="1" fillId="16" borderId="16" applyNumberFormat="0" applyFont="0" applyAlignment="0" applyProtection="0"/>
    <xf numFmtId="0" fontId="28" fillId="0" borderId="0" applyNumberFormat="0" applyFill="0" applyBorder="0" applyAlignment="0" applyProtection="0"/>
    <xf numFmtId="0" fontId="15" fillId="0" borderId="17" applyNumberFormat="0" applyFill="0" applyAlignment="0" applyProtection="0"/>
    <xf numFmtId="0" fontId="2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9"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 fillId="0" borderId="0"/>
    <xf numFmtId="169" fontId="3" fillId="0" borderId="0" applyFont="0" applyFill="0" applyBorder="0" applyAlignment="0" applyProtection="0"/>
    <xf numFmtId="170"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125">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43" fontId="7" fillId="6" borderId="6" xfId="1" applyFont="1" applyFill="1" applyBorder="1" applyAlignment="1" applyProtection="1">
      <alignment horizontal="right" vertical="center"/>
      <protection locked="0"/>
    </xf>
    <xf numFmtId="43"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43" fontId="7" fillId="0" borderId="7" xfId="3" quotePrefix="1" applyFont="1" applyFill="1" applyBorder="1" applyAlignment="1" applyProtection="1">
      <alignment horizontal="right" vertical="center"/>
      <protection locked="0"/>
    </xf>
    <xf numFmtId="43" fontId="7" fillId="0" borderId="7" xfId="3" quotePrefix="1" applyFont="1" applyBorder="1" applyAlignment="1" applyProtection="1">
      <alignment horizontal="right" vertical="center"/>
      <protection locked="0"/>
    </xf>
    <xf numFmtId="43"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43"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166" fontId="3" fillId="0" borderId="0" xfId="1" applyNumberFormat="1" applyFont="1" applyFill="1" applyAlignment="1" applyProtection="1">
      <alignment horizontal="right" vertical="center"/>
      <protection locked="0"/>
    </xf>
    <xf numFmtId="166" fontId="3" fillId="0" borderId="7" xfId="1" quotePrefix="1" applyNumberFormat="1" applyFont="1" applyFill="1" applyBorder="1" applyAlignment="1" applyProtection="1">
      <alignment horizontal="right" vertical="center"/>
      <protection locked="0"/>
    </xf>
    <xf numFmtId="43" fontId="0" fillId="0" borderId="0" xfId="1" applyFont="1"/>
    <xf numFmtId="4" fontId="3" fillId="0" borderId="0" xfId="0" applyNumberFormat="1" applyFont="1" applyProtection="1">
      <protection locked="0"/>
    </xf>
    <xf numFmtId="0" fontId="14"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43" fontId="10" fillId="7" borderId="7" xfId="3" applyFont="1" applyFill="1" applyBorder="1" applyAlignment="1" applyProtection="1">
      <alignment horizontal="right" vertical="center"/>
      <protection locked="0"/>
    </xf>
    <xf numFmtId="43" fontId="7" fillId="0" borderId="7" xfId="3" applyFont="1" applyFill="1" applyBorder="1" applyAlignment="1" applyProtection="1">
      <alignment horizontal="right" vertical="center"/>
      <protection locked="0"/>
    </xf>
    <xf numFmtId="43" fontId="3" fillId="0" borderId="0" xfId="1" applyFont="1" applyProtection="1">
      <protection locked="0"/>
    </xf>
    <xf numFmtId="43" fontId="3" fillId="0" borderId="0" xfId="0" applyNumberFormat="1" applyFont="1" applyProtection="1">
      <protection locked="0"/>
    </xf>
    <xf numFmtId="43" fontId="7" fillId="7" borderId="7" xfId="1" applyFont="1" applyFill="1" applyBorder="1" applyAlignment="1" applyProtection="1">
      <alignment horizontal="right" vertical="center"/>
      <protection locked="0"/>
    </xf>
    <xf numFmtId="43"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4"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67" fontId="7" fillId="0" borderId="7" xfId="6" quotePrefix="1" applyNumberFormat="1" applyFont="1" applyBorder="1" applyAlignment="1" applyProtection="1">
      <alignment horizontal="right" vertical="center"/>
      <protection locked="0"/>
    </xf>
    <xf numFmtId="0" fontId="0" fillId="0" borderId="2" xfId="0" applyBorder="1" applyProtection="1">
      <protection locked="0"/>
    </xf>
    <xf numFmtId="43" fontId="0" fillId="0" borderId="2" xfId="1" applyFont="1" applyFill="1" applyBorder="1" applyProtection="1">
      <protection locked="0"/>
    </xf>
    <xf numFmtId="43" fontId="31" fillId="0" borderId="0" xfId="1" applyFont="1"/>
    <xf numFmtId="0" fontId="31" fillId="0" borderId="0" xfId="0" applyFont="1"/>
    <xf numFmtId="43" fontId="31" fillId="41" borderId="0" xfId="1" applyFont="1" applyFill="1"/>
    <xf numFmtId="0" fontId="31" fillId="41" borderId="0" xfId="0" applyFont="1" applyFill="1"/>
    <xf numFmtId="0" fontId="30" fillId="0" borderId="0" xfId="0" applyFont="1"/>
    <xf numFmtId="172" fontId="3" fillId="0" borderId="0" xfId="1" applyNumberFormat="1" applyFont="1" applyAlignment="1" applyProtection="1">
      <alignment horizontal="right" vertical="center"/>
      <protection locked="0"/>
    </xf>
    <xf numFmtId="0" fontId="15" fillId="0" borderId="2" xfId="0" applyFont="1" applyBorder="1" applyProtection="1">
      <protection locked="0"/>
    </xf>
    <xf numFmtId="0" fontId="15" fillId="0" borderId="2" xfId="0" quotePrefix="1" applyFont="1" applyBorder="1" applyProtection="1">
      <protection locked="0"/>
    </xf>
    <xf numFmtId="43" fontId="0" fillId="0" borderId="2" xfId="1" applyFont="1" applyBorder="1" applyProtection="1">
      <protection locked="0"/>
    </xf>
    <xf numFmtId="43" fontId="31" fillId="8" borderId="0" xfId="1" applyFont="1" applyFill="1"/>
    <xf numFmtId="0" fontId="15" fillId="8" borderId="2" xfId="0" applyFont="1" applyFill="1" applyBorder="1" applyProtection="1">
      <protection locked="0"/>
    </xf>
    <xf numFmtId="0" fontId="31" fillId="8" borderId="0" xfId="0" applyFont="1" applyFill="1"/>
    <xf numFmtId="166" fontId="31" fillId="0" borderId="0" xfId="1" applyNumberFormat="1" applyFont="1"/>
    <xf numFmtId="166" fontId="30" fillId="0" borderId="0" xfId="1" applyNumberFormat="1" applyFont="1"/>
    <xf numFmtId="166" fontId="15" fillId="0" borderId="2" xfId="1" applyNumberFormat="1" applyFont="1" applyBorder="1" applyProtection="1">
      <protection locked="0"/>
    </xf>
    <xf numFmtId="166" fontId="3" fillId="0" borderId="0" xfId="1" applyNumberFormat="1" applyFont="1" applyProtection="1">
      <protection locked="0"/>
    </xf>
    <xf numFmtId="43" fontId="3" fillId="0" borderId="7" xfId="1" quotePrefix="1" applyFont="1" applyFill="1" applyBorder="1" applyAlignment="1" applyProtection="1">
      <alignment horizontal="center" vertical="center"/>
      <protection locked="0"/>
    </xf>
    <xf numFmtId="172" fontId="3" fillId="0" borderId="7" xfId="1" quotePrefix="1" applyNumberFormat="1" applyFont="1" applyFill="1" applyBorder="1" applyAlignment="1" applyProtection="1">
      <alignment horizontal="center" vertical="center"/>
      <protection locked="0"/>
    </xf>
    <xf numFmtId="43" fontId="7" fillId="4" borderId="9" xfId="1" applyFont="1" applyFill="1" applyBorder="1" applyAlignment="1" applyProtection="1">
      <alignment horizontal="right" vertical="center"/>
      <protection locked="0"/>
    </xf>
    <xf numFmtId="43" fontId="7" fillId="4" borderId="7" xfId="1" applyFont="1" applyFill="1" applyBorder="1" applyAlignment="1" applyProtection="1">
      <alignment horizontal="right" vertical="center"/>
      <protection locked="0"/>
    </xf>
    <xf numFmtId="43" fontId="30" fillId="0" borderId="0" xfId="1" applyFont="1"/>
    <xf numFmtId="43" fontId="7" fillId="0" borderId="0" xfId="1" applyFont="1" applyAlignment="1" applyProtection="1">
      <alignment horizontal="right" vertical="center"/>
      <protection locked="0"/>
    </xf>
    <xf numFmtId="43" fontId="7" fillId="0" borderId="7" xfId="1" quotePrefix="1" applyFont="1" applyFill="1" applyBorder="1" applyAlignment="1" applyProtection="1">
      <alignment horizontal="center" vertical="center"/>
      <protection locked="0"/>
    </xf>
    <xf numFmtId="43" fontId="7" fillId="0" borderId="7" xfId="1" quotePrefix="1" applyFont="1" applyBorder="1" applyAlignment="1" applyProtection="1">
      <alignment horizontal="right" vertical="center"/>
      <protection locked="0"/>
    </xf>
    <xf numFmtId="43" fontId="7" fillId="0" borderId="7" xfId="1" quotePrefix="1" applyFont="1" applyBorder="1" applyAlignment="1" applyProtection="1">
      <alignment horizontal="center" vertical="center"/>
      <protection locked="0"/>
    </xf>
    <xf numFmtId="43" fontId="10" fillId="7" borderId="7" xfId="1" applyFont="1" applyFill="1" applyBorder="1" applyAlignment="1" applyProtection="1">
      <alignment horizontal="right" vertical="center"/>
      <protection locked="0"/>
    </xf>
    <xf numFmtId="166" fontId="0" fillId="0" borderId="2" xfId="1" applyNumberFormat="1" applyFont="1" applyFill="1" applyBorder="1" applyProtection="1">
      <protection locked="0"/>
    </xf>
    <xf numFmtId="166" fontId="15" fillId="0" borderId="2" xfId="1" applyNumberFormat="1" applyFont="1" applyFill="1" applyBorder="1" applyProtection="1">
      <protection locked="0"/>
    </xf>
    <xf numFmtId="166" fontId="0" fillId="43" borderId="2" xfId="1" applyNumberFormat="1" applyFont="1" applyFill="1" applyBorder="1" applyProtection="1">
      <protection locked="0"/>
    </xf>
    <xf numFmtId="166" fontId="30" fillId="43" borderId="0" xfId="1" applyNumberFormat="1" applyFont="1" applyFill="1"/>
    <xf numFmtId="166" fontId="15" fillId="9" borderId="2" xfId="1" applyNumberFormat="1" applyFont="1" applyFill="1" applyBorder="1" applyProtection="1">
      <protection locked="0"/>
    </xf>
    <xf numFmtId="166" fontId="31" fillId="9" borderId="0" xfId="1" applyNumberFormat="1" applyFont="1" applyFill="1"/>
    <xf numFmtId="164" fontId="1" fillId="0" borderId="2" xfId="115" applyFont="1" applyFill="1" applyBorder="1" applyProtection="1">
      <protection locked="0"/>
    </xf>
    <xf numFmtId="0" fontId="15" fillId="0" borderId="0" xfId="0" applyFont="1"/>
    <xf numFmtId="43" fontId="0" fillId="44" borderId="0" xfId="1" applyFont="1" applyFill="1"/>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xf numFmtId="0" fontId="0" fillId="0" borderId="2" xfId="0" applyNumberFormat="1" applyFill="1" applyBorder="1" applyProtection="1">
      <protection locked="0"/>
    </xf>
    <xf numFmtId="0" fontId="0" fillId="0" borderId="2" xfId="0" quotePrefix="1" applyNumberFormat="1" applyFill="1" applyBorder="1" applyProtection="1">
      <protection locked="0"/>
    </xf>
    <xf numFmtId="0" fontId="15" fillId="0" borderId="2" xfId="0" applyNumberFormat="1" applyFont="1" applyFill="1" applyBorder="1" applyProtection="1">
      <protection locked="0"/>
    </xf>
    <xf numFmtId="0" fontId="15" fillId="0" borderId="2" xfId="0" quotePrefix="1" applyNumberFormat="1" applyFont="1" applyFill="1" applyBorder="1" applyProtection="1">
      <protection locked="0"/>
    </xf>
    <xf numFmtId="43" fontId="15" fillId="42" borderId="2" xfId="1" applyFont="1" applyFill="1" applyBorder="1" applyProtection="1">
      <protection locked="0"/>
    </xf>
    <xf numFmtId="0" fontId="15" fillId="42" borderId="2" xfId="0" applyNumberFormat="1" applyFont="1" applyFill="1" applyBorder="1" applyProtection="1">
      <protection locked="0"/>
    </xf>
    <xf numFmtId="43" fontId="15" fillId="45" borderId="2" xfId="1" applyFont="1" applyFill="1" applyBorder="1" applyProtection="1">
      <protection locked="0"/>
    </xf>
    <xf numFmtId="43" fontId="15" fillId="46" borderId="2" xfId="1" applyFont="1" applyFill="1" applyBorder="1" applyProtection="1">
      <protection locked="0"/>
    </xf>
    <xf numFmtId="43" fontId="3" fillId="0" borderId="7" xfId="1" quotePrefix="1" applyFont="1" applyFill="1" applyBorder="1" applyAlignment="1" applyProtection="1">
      <alignment horizontal="right" vertical="center"/>
      <protection locked="0"/>
    </xf>
    <xf numFmtId="0" fontId="3" fillId="0" borderId="0" xfId="0" applyFont="1" applyFill="1" applyAlignment="1" applyProtection="1">
      <alignment horizontal="center" vertical="center"/>
      <protection locked="0"/>
    </xf>
    <xf numFmtId="43" fontId="3" fillId="0" borderId="0" xfId="1" applyFont="1" applyFill="1" applyAlignment="1" applyProtection="1">
      <alignment horizontal="right" vertical="center"/>
      <protection locked="0"/>
    </xf>
    <xf numFmtId="3" fontId="3" fillId="0" borderId="7" xfId="6" quotePrefix="1" applyNumberFormat="1" applyFill="1" applyBorder="1" applyAlignment="1" applyProtection="1">
      <alignment horizontal="center" vertical="center"/>
      <protection locked="0"/>
    </xf>
    <xf numFmtId="0" fontId="3" fillId="0" borderId="0" xfId="0" applyFont="1" applyFill="1" applyAlignment="1" applyProtection="1">
      <alignment horizontal="right" vertical="center"/>
      <protection locked="0"/>
    </xf>
    <xf numFmtId="3" fontId="7" fillId="0" borderId="7" xfId="6" quotePrefix="1" applyNumberFormat="1" applyFont="1" applyFill="1" applyBorder="1" applyAlignment="1" applyProtection="1">
      <alignment horizontal="right" vertical="center"/>
      <protection locked="0"/>
    </xf>
    <xf numFmtId="3" fontId="3" fillId="0" borderId="7" xfId="6" quotePrefix="1" applyNumberFormat="1" applyFill="1" applyBorder="1" applyAlignment="1" applyProtection="1">
      <alignment horizontal="right" vertical="center"/>
      <protection locked="0"/>
    </xf>
    <xf numFmtId="168" fontId="7" fillId="0" borderId="0" xfId="0" applyNumberFormat="1" applyFont="1" applyFill="1" applyProtection="1">
      <protection locked="0"/>
    </xf>
    <xf numFmtId="43" fontId="7" fillId="47" borderId="9" xfId="1" applyFont="1" applyFill="1" applyBorder="1" applyAlignment="1" applyProtection="1">
      <alignment horizontal="right" vertical="center"/>
      <protection locked="0"/>
    </xf>
    <xf numFmtId="0" fontId="3" fillId="47" borderId="0" xfId="0" applyFont="1" applyFill="1" applyAlignment="1" applyProtection="1">
      <alignment horizontal="center" vertical="center"/>
      <protection locked="0"/>
    </xf>
  </cellXfs>
  <cellStyles count="116">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9" builtinId="16" customBuiltin="1"/>
    <cellStyle name="Encabezado 4" xfId="12"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6" builtinId="20" customBuiltin="1"/>
    <cellStyle name="Incorrecto" xfId="14" builtinId="27" customBuiltin="1"/>
    <cellStyle name="Millares" xfId="1" builtinId="3"/>
    <cellStyle name="Millares [0] 2" xfId="2" xr:uid="{8CCB4468-2910-44DE-99A2-86530D6D4DAF}"/>
    <cellStyle name="Millares [0] 2 2" xfId="68" xr:uid="{BC125E41-C8BE-45D7-BCE1-42A16F1D71BF}"/>
    <cellStyle name="Millares [0] 3" xfId="64" xr:uid="{63264F82-3190-4726-B04A-825EC702727F}"/>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3" xfId="65" xr:uid="{699AACCF-6946-4508-B29D-EFD09F664AA6}"/>
    <cellStyle name="Millares 2 4" xfId="50" xr:uid="{C1D93BE9-1FEA-4AF9-8F63-7B86CF4379BA}"/>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Millares_FOCUS" xfId="115" xr:uid="{981E821D-0022-4D6C-BCDF-D4FA7B1AF8DD}"/>
    <cellStyle name="Neutral" xfId="15" builtinId="28" customBuiltin="1"/>
    <cellStyle name="Normal" xfId="0" builtinId="0"/>
    <cellStyle name="Normal 2" xfId="6" xr:uid="{2DD6E384-70EC-4A22-8A93-CF688F2689CE}"/>
    <cellStyle name="Normal 2 2" xfId="66" xr:uid="{2C7EF46E-6287-4C68-AAEE-2F9A8E405284}"/>
    <cellStyle name="Notas" xfId="22" builtinId="10" customBuiltin="1"/>
    <cellStyle name="Salida" xfId="17" builtinId="21" customBuiltin="1"/>
    <cellStyle name="Texto de advertencia" xfId="21" builtinId="11" customBuiltin="1"/>
    <cellStyle name="Texto explicativo" xfId="23" builtinId="53" customBuiltin="1"/>
    <cellStyle name="Título" xfId="8" builtinId="15" customBuiltin="1"/>
    <cellStyle name="Título 1" xfId="7" xr:uid="{7007496C-A1DE-47C1-A7EF-F02654C487FA}"/>
    <cellStyle name="Título 2" xfId="10" builtinId="17" customBuiltin="1"/>
    <cellStyle name="Título 3" xfId="11" builtinId="18" customBuiltin="1"/>
    <cellStyle name="Total" xfId="24" builtinId="25" customBuiltin="1"/>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dimension ref="A1:V63384"/>
  <sheetViews>
    <sheetView tabSelected="1" zoomScale="91" zoomScaleNormal="91" workbookViewId="0"/>
  </sheetViews>
  <sheetFormatPr baseColWidth="10" defaultColWidth="11.42578125" defaultRowHeight="12.75" x14ac:dyDescent="0.2"/>
  <cols>
    <col min="1" max="1" width="1.7109375" style="1" customWidth="1"/>
    <col min="2" max="2" width="35.85546875" style="1" customWidth="1"/>
    <col min="3" max="3" width="1.140625" style="1" customWidth="1"/>
    <col min="4" max="4" width="18.28515625" style="1" customWidth="1"/>
    <col min="5" max="5" width="0.7109375" style="1" customWidth="1"/>
    <col min="6" max="6" width="15.28515625" style="1" customWidth="1"/>
    <col min="7" max="7" width="1.14062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5" width="24.5703125" style="1" customWidth="1"/>
    <col min="16" max="16" width="17.5703125" style="1" bestFit="1" customWidth="1"/>
    <col min="17" max="17" width="28.42578125" style="1" customWidth="1"/>
    <col min="18" max="18" width="18.28515625" style="1" customWidth="1"/>
    <col min="19" max="19" width="13.7109375" style="1" bestFit="1" customWidth="1"/>
    <col min="20" max="20" width="16" style="1" bestFit="1" customWidth="1"/>
    <col min="21" max="125" width="11.42578125" style="1"/>
    <col min="126" max="126" width="1.7109375" style="1" customWidth="1"/>
    <col min="127" max="127" width="45.42578125" style="1" customWidth="1"/>
    <col min="128" max="128" width="1.140625" style="1" customWidth="1"/>
    <col min="129" max="129" width="16.5703125" style="1" customWidth="1"/>
    <col min="130" max="130" width="0.7109375" style="1" customWidth="1"/>
    <col min="131" max="131" width="16.5703125" style="1" customWidth="1"/>
    <col min="132" max="132" width="0.7109375" style="1" customWidth="1"/>
    <col min="133" max="133" width="18" style="1" customWidth="1"/>
    <col min="134" max="134" width="1.140625" style="1" customWidth="1"/>
    <col min="135" max="135" width="15.28515625" style="1" customWidth="1"/>
    <col min="136" max="136" width="0.7109375" style="1" customWidth="1"/>
    <col min="137" max="137" width="15.28515625" style="1" customWidth="1"/>
    <col min="138" max="138" width="0.7109375" style="1" customWidth="1"/>
    <col min="139" max="139" width="15.28515625" style="1" customWidth="1"/>
    <col min="140" max="140" width="14.42578125" style="1" bestFit="1" customWidth="1"/>
    <col min="141" max="143" width="16" style="1" customWidth="1"/>
    <col min="144" max="144" width="14.42578125" style="1" bestFit="1" customWidth="1"/>
    <col min="145" max="381" width="11.42578125" style="1"/>
    <col min="382" max="382" width="1.7109375" style="1" customWidth="1"/>
    <col min="383" max="383" width="45.42578125" style="1" customWidth="1"/>
    <col min="384" max="384" width="1.140625" style="1" customWidth="1"/>
    <col min="385" max="385" width="16.5703125" style="1" customWidth="1"/>
    <col min="386" max="386" width="0.7109375" style="1" customWidth="1"/>
    <col min="387" max="387" width="16.5703125" style="1" customWidth="1"/>
    <col min="388" max="388" width="0.7109375" style="1" customWidth="1"/>
    <col min="389" max="389" width="18" style="1" customWidth="1"/>
    <col min="390" max="390" width="1.140625" style="1" customWidth="1"/>
    <col min="391" max="391" width="15.28515625" style="1" customWidth="1"/>
    <col min="392" max="392" width="0.7109375" style="1" customWidth="1"/>
    <col min="393" max="393" width="15.28515625" style="1" customWidth="1"/>
    <col min="394" max="394" width="0.7109375" style="1" customWidth="1"/>
    <col min="395" max="395" width="15.28515625" style="1" customWidth="1"/>
    <col min="396" max="396" width="14.42578125" style="1" bestFit="1" customWidth="1"/>
    <col min="397" max="399" width="16" style="1" customWidth="1"/>
    <col min="400" max="400" width="14.42578125" style="1" bestFit="1" customWidth="1"/>
    <col min="401" max="637" width="11.42578125" style="1"/>
    <col min="638" max="638" width="1.7109375" style="1" customWidth="1"/>
    <col min="639" max="639" width="45.42578125" style="1" customWidth="1"/>
    <col min="640" max="640" width="1.140625" style="1" customWidth="1"/>
    <col min="641" max="641" width="16.5703125" style="1" customWidth="1"/>
    <col min="642" max="642" width="0.7109375" style="1" customWidth="1"/>
    <col min="643" max="643" width="16.5703125" style="1" customWidth="1"/>
    <col min="644" max="644" width="0.7109375" style="1" customWidth="1"/>
    <col min="645" max="645" width="18" style="1" customWidth="1"/>
    <col min="646" max="646" width="1.140625" style="1" customWidth="1"/>
    <col min="647" max="647" width="15.28515625" style="1" customWidth="1"/>
    <col min="648" max="648" width="0.7109375" style="1" customWidth="1"/>
    <col min="649" max="649" width="15.28515625" style="1" customWidth="1"/>
    <col min="650" max="650" width="0.7109375" style="1" customWidth="1"/>
    <col min="651" max="651" width="15.28515625" style="1" customWidth="1"/>
    <col min="652" max="652" width="14.42578125" style="1" bestFit="1" customWidth="1"/>
    <col min="653" max="655" width="16" style="1" customWidth="1"/>
    <col min="656" max="656" width="14.42578125" style="1" bestFit="1" customWidth="1"/>
    <col min="657" max="893" width="11.42578125" style="1"/>
    <col min="894" max="894" width="1.7109375" style="1" customWidth="1"/>
    <col min="895" max="895" width="45.42578125" style="1" customWidth="1"/>
    <col min="896" max="896" width="1.140625" style="1" customWidth="1"/>
    <col min="897" max="897" width="16.5703125" style="1" customWidth="1"/>
    <col min="898" max="898" width="0.7109375" style="1" customWidth="1"/>
    <col min="899" max="899" width="16.5703125" style="1" customWidth="1"/>
    <col min="900" max="900" width="0.7109375" style="1" customWidth="1"/>
    <col min="901" max="901" width="18" style="1" customWidth="1"/>
    <col min="902" max="902" width="1.140625" style="1" customWidth="1"/>
    <col min="903" max="903" width="15.28515625" style="1" customWidth="1"/>
    <col min="904" max="904" width="0.7109375" style="1" customWidth="1"/>
    <col min="905" max="905" width="15.28515625" style="1" customWidth="1"/>
    <col min="906" max="906" width="0.7109375" style="1" customWidth="1"/>
    <col min="907" max="907" width="15.28515625" style="1" customWidth="1"/>
    <col min="908" max="908" width="14.42578125" style="1" bestFit="1" customWidth="1"/>
    <col min="909" max="911" width="16" style="1" customWidth="1"/>
    <col min="912" max="912" width="14.42578125" style="1" bestFit="1" customWidth="1"/>
    <col min="913" max="1149" width="11.42578125" style="1"/>
    <col min="1150" max="1150" width="1.7109375" style="1" customWidth="1"/>
    <col min="1151" max="1151" width="45.42578125" style="1" customWidth="1"/>
    <col min="1152" max="1152" width="1.140625" style="1" customWidth="1"/>
    <col min="1153" max="1153" width="16.5703125" style="1" customWidth="1"/>
    <col min="1154" max="1154" width="0.7109375" style="1" customWidth="1"/>
    <col min="1155" max="1155" width="16.5703125" style="1" customWidth="1"/>
    <col min="1156" max="1156" width="0.7109375" style="1" customWidth="1"/>
    <col min="1157" max="1157" width="18" style="1" customWidth="1"/>
    <col min="1158" max="1158" width="1.140625" style="1" customWidth="1"/>
    <col min="1159" max="1159" width="15.28515625" style="1" customWidth="1"/>
    <col min="1160" max="1160" width="0.7109375" style="1" customWidth="1"/>
    <col min="1161" max="1161" width="15.28515625" style="1" customWidth="1"/>
    <col min="1162" max="1162" width="0.7109375" style="1" customWidth="1"/>
    <col min="1163" max="1163" width="15.28515625" style="1" customWidth="1"/>
    <col min="1164" max="1164" width="14.42578125" style="1" bestFit="1" customWidth="1"/>
    <col min="1165" max="1167" width="16" style="1" customWidth="1"/>
    <col min="1168" max="1168" width="14.42578125" style="1" bestFit="1" customWidth="1"/>
    <col min="1169" max="1405" width="11.42578125" style="1"/>
    <col min="1406" max="1406" width="1.7109375" style="1" customWidth="1"/>
    <col min="1407" max="1407" width="45.42578125" style="1" customWidth="1"/>
    <col min="1408" max="1408" width="1.140625" style="1" customWidth="1"/>
    <col min="1409" max="1409" width="16.5703125" style="1" customWidth="1"/>
    <col min="1410" max="1410" width="0.7109375" style="1" customWidth="1"/>
    <col min="1411" max="1411" width="16.5703125" style="1" customWidth="1"/>
    <col min="1412" max="1412" width="0.7109375" style="1" customWidth="1"/>
    <col min="1413" max="1413" width="18" style="1" customWidth="1"/>
    <col min="1414" max="1414" width="1.140625" style="1" customWidth="1"/>
    <col min="1415" max="1415" width="15.28515625" style="1" customWidth="1"/>
    <col min="1416" max="1416" width="0.7109375" style="1" customWidth="1"/>
    <col min="1417" max="1417" width="15.28515625" style="1" customWidth="1"/>
    <col min="1418" max="1418" width="0.7109375" style="1" customWidth="1"/>
    <col min="1419" max="1419" width="15.28515625" style="1" customWidth="1"/>
    <col min="1420" max="1420" width="14.42578125" style="1" bestFit="1" customWidth="1"/>
    <col min="1421" max="1423" width="16" style="1" customWidth="1"/>
    <col min="1424" max="1424" width="14.42578125" style="1" bestFit="1" customWidth="1"/>
    <col min="1425" max="1661" width="11.42578125" style="1"/>
    <col min="1662" max="1662" width="1.7109375" style="1" customWidth="1"/>
    <col min="1663" max="1663" width="45.42578125" style="1" customWidth="1"/>
    <col min="1664" max="1664" width="1.140625" style="1" customWidth="1"/>
    <col min="1665" max="1665" width="16.5703125" style="1" customWidth="1"/>
    <col min="1666" max="1666" width="0.7109375" style="1" customWidth="1"/>
    <col min="1667" max="1667" width="16.5703125" style="1" customWidth="1"/>
    <col min="1668" max="1668" width="0.7109375" style="1" customWidth="1"/>
    <col min="1669" max="1669" width="18" style="1" customWidth="1"/>
    <col min="1670" max="1670" width="1.140625" style="1" customWidth="1"/>
    <col min="1671" max="1671" width="15.28515625" style="1" customWidth="1"/>
    <col min="1672" max="1672" width="0.7109375" style="1" customWidth="1"/>
    <col min="1673" max="1673" width="15.28515625" style="1" customWidth="1"/>
    <col min="1674" max="1674" width="0.7109375" style="1" customWidth="1"/>
    <col min="1675" max="1675" width="15.28515625" style="1" customWidth="1"/>
    <col min="1676" max="1676" width="14.42578125" style="1" bestFit="1" customWidth="1"/>
    <col min="1677" max="1679" width="16" style="1" customWidth="1"/>
    <col min="1680" max="1680" width="14.42578125" style="1" bestFit="1" customWidth="1"/>
    <col min="1681" max="1917" width="11.42578125" style="1"/>
    <col min="1918" max="1918" width="1.7109375" style="1" customWidth="1"/>
    <col min="1919" max="1919" width="45.42578125" style="1" customWidth="1"/>
    <col min="1920" max="1920" width="1.140625" style="1" customWidth="1"/>
    <col min="1921" max="1921" width="16.5703125" style="1" customWidth="1"/>
    <col min="1922" max="1922" width="0.7109375" style="1" customWidth="1"/>
    <col min="1923" max="1923" width="16.5703125" style="1" customWidth="1"/>
    <col min="1924" max="1924" width="0.7109375" style="1" customWidth="1"/>
    <col min="1925" max="1925" width="18" style="1" customWidth="1"/>
    <col min="1926" max="1926" width="1.140625" style="1" customWidth="1"/>
    <col min="1927" max="1927" width="15.28515625" style="1" customWidth="1"/>
    <col min="1928" max="1928" width="0.7109375" style="1" customWidth="1"/>
    <col min="1929" max="1929" width="15.28515625" style="1" customWidth="1"/>
    <col min="1930" max="1930" width="0.7109375" style="1" customWidth="1"/>
    <col min="1931" max="1931" width="15.28515625" style="1" customWidth="1"/>
    <col min="1932" max="1932" width="14.42578125" style="1" bestFit="1" customWidth="1"/>
    <col min="1933" max="1935" width="16" style="1" customWidth="1"/>
    <col min="1936" max="1936" width="14.42578125" style="1" bestFit="1" customWidth="1"/>
    <col min="1937" max="2173" width="11.42578125" style="1"/>
    <col min="2174" max="2174" width="1.7109375" style="1" customWidth="1"/>
    <col min="2175" max="2175" width="45.42578125" style="1" customWidth="1"/>
    <col min="2176" max="2176" width="1.140625" style="1" customWidth="1"/>
    <col min="2177" max="2177" width="16.5703125" style="1" customWidth="1"/>
    <col min="2178" max="2178" width="0.7109375" style="1" customWidth="1"/>
    <col min="2179" max="2179" width="16.5703125" style="1" customWidth="1"/>
    <col min="2180" max="2180" width="0.7109375" style="1" customWidth="1"/>
    <col min="2181" max="2181" width="18" style="1" customWidth="1"/>
    <col min="2182" max="2182" width="1.140625" style="1" customWidth="1"/>
    <col min="2183" max="2183" width="15.28515625" style="1" customWidth="1"/>
    <col min="2184" max="2184" width="0.7109375" style="1" customWidth="1"/>
    <col min="2185" max="2185" width="15.28515625" style="1" customWidth="1"/>
    <col min="2186" max="2186" width="0.7109375" style="1" customWidth="1"/>
    <col min="2187" max="2187" width="15.28515625" style="1" customWidth="1"/>
    <col min="2188" max="2188" width="14.42578125" style="1" bestFit="1" customWidth="1"/>
    <col min="2189" max="2191" width="16" style="1" customWidth="1"/>
    <col min="2192" max="2192" width="14.42578125" style="1" bestFit="1" customWidth="1"/>
    <col min="2193" max="2429" width="11.42578125" style="1"/>
    <col min="2430" max="2430" width="1.7109375" style="1" customWidth="1"/>
    <col min="2431" max="2431" width="45.42578125" style="1" customWidth="1"/>
    <col min="2432" max="2432" width="1.140625" style="1" customWidth="1"/>
    <col min="2433" max="2433" width="16.5703125" style="1" customWidth="1"/>
    <col min="2434" max="2434" width="0.7109375" style="1" customWidth="1"/>
    <col min="2435" max="2435" width="16.5703125" style="1" customWidth="1"/>
    <col min="2436" max="2436" width="0.7109375" style="1" customWidth="1"/>
    <col min="2437" max="2437" width="18" style="1" customWidth="1"/>
    <col min="2438" max="2438" width="1.140625" style="1" customWidth="1"/>
    <col min="2439" max="2439" width="15.28515625" style="1" customWidth="1"/>
    <col min="2440" max="2440" width="0.7109375" style="1" customWidth="1"/>
    <col min="2441" max="2441" width="15.28515625" style="1" customWidth="1"/>
    <col min="2442" max="2442" width="0.7109375" style="1" customWidth="1"/>
    <col min="2443" max="2443" width="15.28515625" style="1" customWidth="1"/>
    <col min="2444" max="2444" width="14.42578125" style="1" bestFit="1" customWidth="1"/>
    <col min="2445" max="2447" width="16" style="1" customWidth="1"/>
    <col min="2448" max="2448" width="14.42578125" style="1" bestFit="1" customWidth="1"/>
    <col min="2449" max="2685" width="11.42578125" style="1"/>
    <col min="2686" max="2686" width="1.7109375" style="1" customWidth="1"/>
    <col min="2687" max="2687" width="45.42578125" style="1" customWidth="1"/>
    <col min="2688" max="2688" width="1.140625" style="1" customWidth="1"/>
    <col min="2689" max="2689" width="16.5703125" style="1" customWidth="1"/>
    <col min="2690" max="2690" width="0.7109375" style="1" customWidth="1"/>
    <col min="2691" max="2691" width="16.5703125" style="1" customWidth="1"/>
    <col min="2692" max="2692" width="0.7109375" style="1" customWidth="1"/>
    <col min="2693" max="2693" width="18" style="1" customWidth="1"/>
    <col min="2694" max="2694" width="1.140625" style="1" customWidth="1"/>
    <col min="2695" max="2695" width="15.28515625" style="1" customWidth="1"/>
    <col min="2696" max="2696" width="0.7109375" style="1" customWidth="1"/>
    <col min="2697" max="2697" width="15.28515625" style="1" customWidth="1"/>
    <col min="2698" max="2698" width="0.7109375" style="1" customWidth="1"/>
    <col min="2699" max="2699" width="15.28515625" style="1" customWidth="1"/>
    <col min="2700" max="2700" width="14.42578125" style="1" bestFit="1" customWidth="1"/>
    <col min="2701" max="2703" width="16" style="1" customWidth="1"/>
    <col min="2704" max="2704" width="14.42578125" style="1" bestFit="1" customWidth="1"/>
    <col min="2705" max="2941" width="11.42578125" style="1"/>
    <col min="2942" max="2942" width="1.7109375" style="1" customWidth="1"/>
    <col min="2943" max="2943" width="45.42578125" style="1" customWidth="1"/>
    <col min="2944" max="2944" width="1.140625" style="1" customWidth="1"/>
    <col min="2945" max="2945" width="16.5703125" style="1" customWidth="1"/>
    <col min="2946" max="2946" width="0.7109375" style="1" customWidth="1"/>
    <col min="2947" max="2947" width="16.5703125" style="1" customWidth="1"/>
    <col min="2948" max="2948" width="0.7109375" style="1" customWidth="1"/>
    <col min="2949" max="2949" width="18" style="1" customWidth="1"/>
    <col min="2950" max="2950" width="1.140625" style="1" customWidth="1"/>
    <col min="2951" max="2951" width="15.28515625" style="1" customWidth="1"/>
    <col min="2952" max="2952" width="0.7109375" style="1" customWidth="1"/>
    <col min="2953" max="2953" width="15.28515625" style="1" customWidth="1"/>
    <col min="2954" max="2954" width="0.7109375" style="1" customWidth="1"/>
    <col min="2955" max="2955" width="15.28515625" style="1" customWidth="1"/>
    <col min="2956" max="2956" width="14.42578125" style="1" bestFit="1" customWidth="1"/>
    <col min="2957" max="2959" width="16" style="1" customWidth="1"/>
    <col min="2960" max="2960" width="14.42578125" style="1" bestFit="1" customWidth="1"/>
    <col min="2961" max="3197" width="11.42578125" style="1"/>
    <col min="3198" max="3198" width="1.7109375" style="1" customWidth="1"/>
    <col min="3199" max="3199" width="45.42578125" style="1" customWidth="1"/>
    <col min="3200" max="3200" width="1.140625" style="1" customWidth="1"/>
    <col min="3201" max="3201" width="16.5703125" style="1" customWidth="1"/>
    <col min="3202" max="3202" width="0.7109375" style="1" customWidth="1"/>
    <col min="3203" max="3203" width="16.5703125" style="1" customWidth="1"/>
    <col min="3204" max="3204" width="0.7109375" style="1" customWidth="1"/>
    <col min="3205" max="3205" width="18" style="1" customWidth="1"/>
    <col min="3206" max="3206" width="1.140625" style="1" customWidth="1"/>
    <col min="3207" max="3207" width="15.28515625" style="1" customWidth="1"/>
    <col min="3208" max="3208" width="0.7109375" style="1" customWidth="1"/>
    <col min="3209" max="3209" width="15.28515625" style="1" customWidth="1"/>
    <col min="3210" max="3210" width="0.7109375" style="1" customWidth="1"/>
    <col min="3211" max="3211" width="15.28515625" style="1" customWidth="1"/>
    <col min="3212" max="3212" width="14.42578125" style="1" bestFit="1" customWidth="1"/>
    <col min="3213" max="3215" width="16" style="1" customWidth="1"/>
    <col min="3216" max="3216" width="14.42578125" style="1" bestFit="1" customWidth="1"/>
    <col min="3217" max="3453" width="11.42578125" style="1"/>
    <col min="3454" max="3454" width="1.7109375" style="1" customWidth="1"/>
    <col min="3455" max="3455" width="45.42578125" style="1" customWidth="1"/>
    <col min="3456" max="3456" width="1.140625" style="1" customWidth="1"/>
    <col min="3457" max="3457" width="16.5703125" style="1" customWidth="1"/>
    <col min="3458" max="3458" width="0.7109375" style="1" customWidth="1"/>
    <col min="3459" max="3459" width="16.5703125" style="1" customWidth="1"/>
    <col min="3460" max="3460" width="0.7109375" style="1" customWidth="1"/>
    <col min="3461" max="3461" width="18" style="1" customWidth="1"/>
    <col min="3462" max="3462" width="1.140625" style="1" customWidth="1"/>
    <col min="3463" max="3463" width="15.28515625" style="1" customWidth="1"/>
    <col min="3464" max="3464" width="0.7109375" style="1" customWidth="1"/>
    <col min="3465" max="3465" width="15.28515625" style="1" customWidth="1"/>
    <col min="3466" max="3466" width="0.7109375" style="1" customWidth="1"/>
    <col min="3467" max="3467" width="15.28515625" style="1" customWidth="1"/>
    <col min="3468" max="3468" width="14.42578125" style="1" bestFit="1" customWidth="1"/>
    <col min="3469" max="3471" width="16" style="1" customWidth="1"/>
    <col min="3472" max="3472" width="14.42578125" style="1" bestFit="1" customWidth="1"/>
    <col min="3473" max="3709" width="11.42578125" style="1"/>
    <col min="3710" max="3710" width="1.7109375" style="1" customWidth="1"/>
    <col min="3711" max="3711" width="45.42578125" style="1" customWidth="1"/>
    <col min="3712" max="3712" width="1.140625" style="1" customWidth="1"/>
    <col min="3713" max="3713" width="16.5703125" style="1" customWidth="1"/>
    <col min="3714" max="3714" width="0.7109375" style="1" customWidth="1"/>
    <col min="3715" max="3715" width="16.5703125" style="1" customWidth="1"/>
    <col min="3716" max="3716" width="0.7109375" style="1" customWidth="1"/>
    <col min="3717" max="3717" width="18" style="1" customWidth="1"/>
    <col min="3718" max="3718" width="1.140625" style="1" customWidth="1"/>
    <col min="3719" max="3719" width="15.28515625" style="1" customWidth="1"/>
    <col min="3720" max="3720" width="0.7109375" style="1" customWidth="1"/>
    <col min="3721" max="3721" width="15.28515625" style="1" customWidth="1"/>
    <col min="3722" max="3722" width="0.7109375" style="1" customWidth="1"/>
    <col min="3723" max="3723" width="15.28515625" style="1" customWidth="1"/>
    <col min="3724" max="3724" width="14.42578125" style="1" bestFit="1" customWidth="1"/>
    <col min="3725" max="3727" width="16" style="1" customWidth="1"/>
    <col min="3728" max="3728" width="14.42578125" style="1" bestFit="1" customWidth="1"/>
    <col min="3729" max="3965" width="11.42578125" style="1"/>
    <col min="3966" max="3966" width="1.7109375" style="1" customWidth="1"/>
    <col min="3967" max="3967" width="45.42578125" style="1" customWidth="1"/>
    <col min="3968" max="3968" width="1.140625" style="1" customWidth="1"/>
    <col min="3969" max="3969" width="16.5703125" style="1" customWidth="1"/>
    <col min="3970" max="3970" width="0.7109375" style="1" customWidth="1"/>
    <col min="3971" max="3971" width="16.5703125" style="1" customWidth="1"/>
    <col min="3972" max="3972" width="0.7109375" style="1" customWidth="1"/>
    <col min="3973" max="3973" width="18" style="1" customWidth="1"/>
    <col min="3974" max="3974" width="1.140625" style="1" customWidth="1"/>
    <col min="3975" max="3975" width="15.28515625" style="1" customWidth="1"/>
    <col min="3976" max="3976" width="0.7109375" style="1" customWidth="1"/>
    <col min="3977" max="3977" width="15.28515625" style="1" customWidth="1"/>
    <col min="3978" max="3978" width="0.7109375" style="1" customWidth="1"/>
    <col min="3979" max="3979" width="15.28515625" style="1" customWidth="1"/>
    <col min="3980" max="3980" width="14.42578125" style="1" bestFit="1" customWidth="1"/>
    <col min="3981" max="3983" width="16" style="1" customWidth="1"/>
    <col min="3984" max="3984" width="14.42578125" style="1" bestFit="1" customWidth="1"/>
    <col min="3985" max="4221" width="11.42578125" style="1"/>
    <col min="4222" max="4222" width="1.7109375" style="1" customWidth="1"/>
    <col min="4223" max="4223" width="45.42578125" style="1" customWidth="1"/>
    <col min="4224" max="4224" width="1.140625" style="1" customWidth="1"/>
    <col min="4225" max="4225" width="16.5703125" style="1" customWidth="1"/>
    <col min="4226" max="4226" width="0.7109375" style="1" customWidth="1"/>
    <col min="4227" max="4227" width="16.5703125" style="1" customWidth="1"/>
    <col min="4228" max="4228" width="0.7109375" style="1" customWidth="1"/>
    <col min="4229" max="4229" width="18" style="1" customWidth="1"/>
    <col min="4230" max="4230" width="1.140625" style="1" customWidth="1"/>
    <col min="4231" max="4231" width="15.28515625" style="1" customWidth="1"/>
    <col min="4232" max="4232" width="0.7109375" style="1" customWidth="1"/>
    <col min="4233" max="4233" width="15.28515625" style="1" customWidth="1"/>
    <col min="4234" max="4234" width="0.7109375" style="1" customWidth="1"/>
    <col min="4235" max="4235" width="15.28515625" style="1" customWidth="1"/>
    <col min="4236" max="4236" width="14.42578125" style="1" bestFit="1" customWidth="1"/>
    <col min="4237" max="4239" width="16" style="1" customWidth="1"/>
    <col min="4240" max="4240" width="14.42578125" style="1" bestFit="1" customWidth="1"/>
    <col min="4241" max="4477" width="11.42578125" style="1"/>
    <col min="4478" max="4478" width="1.7109375" style="1" customWidth="1"/>
    <col min="4479" max="4479" width="45.42578125" style="1" customWidth="1"/>
    <col min="4480" max="4480" width="1.140625" style="1" customWidth="1"/>
    <col min="4481" max="4481" width="16.5703125" style="1" customWidth="1"/>
    <col min="4482" max="4482" width="0.7109375" style="1" customWidth="1"/>
    <col min="4483" max="4483" width="16.5703125" style="1" customWidth="1"/>
    <col min="4484" max="4484" width="0.7109375" style="1" customWidth="1"/>
    <col min="4485" max="4485" width="18" style="1" customWidth="1"/>
    <col min="4486" max="4486" width="1.140625" style="1" customWidth="1"/>
    <col min="4487" max="4487" width="15.28515625" style="1" customWidth="1"/>
    <col min="4488" max="4488" width="0.7109375" style="1" customWidth="1"/>
    <col min="4489" max="4489" width="15.28515625" style="1" customWidth="1"/>
    <col min="4490" max="4490" width="0.7109375" style="1" customWidth="1"/>
    <col min="4491" max="4491" width="15.28515625" style="1" customWidth="1"/>
    <col min="4492" max="4492" width="14.42578125" style="1" bestFit="1" customWidth="1"/>
    <col min="4493" max="4495" width="16" style="1" customWidth="1"/>
    <col min="4496" max="4496" width="14.42578125" style="1" bestFit="1" customWidth="1"/>
    <col min="4497" max="4733" width="11.42578125" style="1"/>
    <col min="4734" max="4734" width="1.7109375" style="1" customWidth="1"/>
    <col min="4735" max="4735" width="45.42578125" style="1" customWidth="1"/>
    <col min="4736" max="4736" width="1.140625" style="1" customWidth="1"/>
    <col min="4737" max="4737" width="16.5703125" style="1" customWidth="1"/>
    <col min="4738" max="4738" width="0.7109375" style="1" customWidth="1"/>
    <col min="4739" max="4739" width="16.5703125" style="1" customWidth="1"/>
    <col min="4740" max="4740" width="0.7109375" style="1" customWidth="1"/>
    <col min="4741" max="4741" width="18" style="1" customWidth="1"/>
    <col min="4742" max="4742" width="1.140625" style="1" customWidth="1"/>
    <col min="4743" max="4743" width="15.28515625" style="1" customWidth="1"/>
    <col min="4744" max="4744" width="0.7109375" style="1" customWidth="1"/>
    <col min="4745" max="4745" width="15.28515625" style="1" customWidth="1"/>
    <col min="4746" max="4746" width="0.7109375" style="1" customWidth="1"/>
    <col min="4747" max="4747" width="15.28515625" style="1" customWidth="1"/>
    <col min="4748" max="4748" width="14.42578125" style="1" bestFit="1" customWidth="1"/>
    <col min="4749" max="4751" width="16" style="1" customWidth="1"/>
    <col min="4752" max="4752" width="14.42578125" style="1" bestFit="1" customWidth="1"/>
    <col min="4753" max="4989" width="11.42578125" style="1"/>
    <col min="4990" max="4990" width="1.7109375" style="1" customWidth="1"/>
    <col min="4991" max="4991" width="45.42578125" style="1" customWidth="1"/>
    <col min="4992" max="4992" width="1.140625" style="1" customWidth="1"/>
    <col min="4993" max="4993" width="16.5703125" style="1" customWidth="1"/>
    <col min="4994" max="4994" width="0.7109375" style="1" customWidth="1"/>
    <col min="4995" max="4995" width="16.5703125" style="1" customWidth="1"/>
    <col min="4996" max="4996" width="0.7109375" style="1" customWidth="1"/>
    <col min="4997" max="4997" width="18" style="1" customWidth="1"/>
    <col min="4998" max="4998" width="1.140625" style="1" customWidth="1"/>
    <col min="4999" max="4999" width="15.28515625" style="1" customWidth="1"/>
    <col min="5000" max="5000" width="0.7109375" style="1" customWidth="1"/>
    <col min="5001" max="5001" width="15.28515625" style="1" customWidth="1"/>
    <col min="5002" max="5002" width="0.7109375" style="1" customWidth="1"/>
    <col min="5003" max="5003" width="15.28515625" style="1" customWidth="1"/>
    <col min="5004" max="5004" width="14.42578125" style="1" bestFit="1" customWidth="1"/>
    <col min="5005" max="5007" width="16" style="1" customWidth="1"/>
    <col min="5008" max="5008" width="14.42578125" style="1" bestFit="1" customWidth="1"/>
    <col min="5009" max="5245" width="11.42578125" style="1"/>
    <col min="5246" max="5246" width="1.7109375" style="1" customWidth="1"/>
    <col min="5247" max="5247" width="45.42578125" style="1" customWidth="1"/>
    <col min="5248" max="5248" width="1.140625" style="1" customWidth="1"/>
    <col min="5249" max="5249" width="16.5703125" style="1" customWidth="1"/>
    <col min="5250" max="5250" width="0.7109375" style="1" customWidth="1"/>
    <col min="5251" max="5251" width="16.5703125" style="1" customWidth="1"/>
    <col min="5252" max="5252" width="0.7109375" style="1" customWidth="1"/>
    <col min="5253" max="5253" width="18" style="1" customWidth="1"/>
    <col min="5254" max="5254" width="1.140625" style="1" customWidth="1"/>
    <col min="5255" max="5255" width="15.28515625" style="1" customWidth="1"/>
    <col min="5256" max="5256" width="0.7109375" style="1" customWidth="1"/>
    <col min="5257" max="5257" width="15.28515625" style="1" customWidth="1"/>
    <col min="5258" max="5258" width="0.7109375" style="1" customWidth="1"/>
    <col min="5259" max="5259" width="15.28515625" style="1" customWidth="1"/>
    <col min="5260" max="5260" width="14.42578125" style="1" bestFit="1" customWidth="1"/>
    <col min="5261" max="5263" width="16" style="1" customWidth="1"/>
    <col min="5264" max="5264" width="14.42578125" style="1" bestFit="1" customWidth="1"/>
    <col min="5265" max="5501" width="11.42578125" style="1"/>
    <col min="5502" max="5502" width="1.7109375" style="1" customWidth="1"/>
    <col min="5503" max="5503" width="45.42578125" style="1" customWidth="1"/>
    <col min="5504" max="5504" width="1.140625" style="1" customWidth="1"/>
    <col min="5505" max="5505" width="16.5703125" style="1" customWidth="1"/>
    <col min="5506" max="5506" width="0.7109375" style="1" customWidth="1"/>
    <col min="5507" max="5507" width="16.5703125" style="1" customWidth="1"/>
    <col min="5508" max="5508" width="0.7109375" style="1" customWidth="1"/>
    <col min="5509" max="5509" width="18" style="1" customWidth="1"/>
    <col min="5510" max="5510" width="1.140625" style="1" customWidth="1"/>
    <col min="5511" max="5511" width="15.28515625" style="1" customWidth="1"/>
    <col min="5512" max="5512" width="0.7109375" style="1" customWidth="1"/>
    <col min="5513" max="5513" width="15.28515625" style="1" customWidth="1"/>
    <col min="5514" max="5514" width="0.7109375" style="1" customWidth="1"/>
    <col min="5515" max="5515" width="15.28515625" style="1" customWidth="1"/>
    <col min="5516" max="5516" width="14.42578125" style="1" bestFit="1" customWidth="1"/>
    <col min="5517" max="5519" width="16" style="1" customWidth="1"/>
    <col min="5520" max="5520" width="14.42578125" style="1" bestFit="1" customWidth="1"/>
    <col min="5521" max="5757" width="11.42578125" style="1"/>
    <col min="5758" max="5758" width="1.7109375" style="1" customWidth="1"/>
    <col min="5759" max="5759" width="45.42578125" style="1" customWidth="1"/>
    <col min="5760" max="5760" width="1.140625" style="1" customWidth="1"/>
    <col min="5761" max="5761" width="16.5703125" style="1" customWidth="1"/>
    <col min="5762" max="5762" width="0.7109375" style="1" customWidth="1"/>
    <col min="5763" max="5763" width="16.5703125" style="1" customWidth="1"/>
    <col min="5764" max="5764" width="0.7109375" style="1" customWidth="1"/>
    <col min="5765" max="5765" width="18" style="1" customWidth="1"/>
    <col min="5766" max="5766" width="1.140625" style="1" customWidth="1"/>
    <col min="5767" max="5767" width="15.28515625" style="1" customWidth="1"/>
    <col min="5768" max="5768" width="0.7109375" style="1" customWidth="1"/>
    <col min="5769" max="5769" width="15.28515625" style="1" customWidth="1"/>
    <col min="5770" max="5770" width="0.7109375" style="1" customWidth="1"/>
    <col min="5771" max="5771" width="15.28515625" style="1" customWidth="1"/>
    <col min="5772" max="5772" width="14.42578125" style="1" bestFit="1" customWidth="1"/>
    <col min="5773" max="5775" width="16" style="1" customWidth="1"/>
    <col min="5776" max="5776" width="14.42578125" style="1" bestFit="1" customWidth="1"/>
    <col min="5777" max="6013" width="11.42578125" style="1"/>
    <col min="6014" max="6014" width="1.7109375" style="1" customWidth="1"/>
    <col min="6015" max="6015" width="45.42578125" style="1" customWidth="1"/>
    <col min="6016" max="6016" width="1.140625" style="1" customWidth="1"/>
    <col min="6017" max="6017" width="16.5703125" style="1" customWidth="1"/>
    <col min="6018" max="6018" width="0.7109375" style="1" customWidth="1"/>
    <col min="6019" max="6019" width="16.5703125" style="1" customWidth="1"/>
    <col min="6020" max="6020" width="0.7109375" style="1" customWidth="1"/>
    <col min="6021" max="6021" width="18" style="1" customWidth="1"/>
    <col min="6022" max="6022" width="1.140625" style="1" customWidth="1"/>
    <col min="6023" max="6023" width="15.28515625" style="1" customWidth="1"/>
    <col min="6024" max="6024" width="0.7109375" style="1" customWidth="1"/>
    <col min="6025" max="6025" width="15.28515625" style="1" customWidth="1"/>
    <col min="6026" max="6026" width="0.7109375" style="1" customWidth="1"/>
    <col min="6027" max="6027" width="15.28515625" style="1" customWidth="1"/>
    <col min="6028" max="6028" width="14.42578125" style="1" bestFit="1" customWidth="1"/>
    <col min="6029" max="6031" width="16" style="1" customWidth="1"/>
    <col min="6032" max="6032" width="14.42578125" style="1" bestFit="1" customWidth="1"/>
    <col min="6033" max="6269" width="11.42578125" style="1"/>
    <col min="6270" max="6270" width="1.7109375" style="1" customWidth="1"/>
    <col min="6271" max="6271" width="45.42578125" style="1" customWidth="1"/>
    <col min="6272" max="6272" width="1.140625" style="1" customWidth="1"/>
    <col min="6273" max="6273" width="16.5703125" style="1" customWidth="1"/>
    <col min="6274" max="6274" width="0.7109375" style="1" customWidth="1"/>
    <col min="6275" max="6275" width="16.5703125" style="1" customWidth="1"/>
    <col min="6276" max="6276" width="0.7109375" style="1" customWidth="1"/>
    <col min="6277" max="6277" width="18" style="1" customWidth="1"/>
    <col min="6278" max="6278" width="1.140625" style="1" customWidth="1"/>
    <col min="6279" max="6279" width="15.28515625" style="1" customWidth="1"/>
    <col min="6280" max="6280" width="0.7109375" style="1" customWidth="1"/>
    <col min="6281" max="6281" width="15.28515625" style="1" customWidth="1"/>
    <col min="6282" max="6282" width="0.7109375" style="1" customWidth="1"/>
    <col min="6283" max="6283" width="15.28515625" style="1" customWidth="1"/>
    <col min="6284" max="6284" width="14.42578125" style="1" bestFit="1" customWidth="1"/>
    <col min="6285" max="6287" width="16" style="1" customWidth="1"/>
    <col min="6288" max="6288" width="14.42578125" style="1" bestFit="1" customWidth="1"/>
    <col min="6289" max="6525" width="11.42578125" style="1"/>
    <col min="6526" max="6526" width="1.7109375" style="1" customWidth="1"/>
    <col min="6527" max="6527" width="45.42578125" style="1" customWidth="1"/>
    <col min="6528" max="6528" width="1.140625" style="1" customWidth="1"/>
    <col min="6529" max="6529" width="16.5703125" style="1" customWidth="1"/>
    <col min="6530" max="6530" width="0.7109375" style="1" customWidth="1"/>
    <col min="6531" max="6531" width="16.5703125" style="1" customWidth="1"/>
    <col min="6532" max="6532" width="0.7109375" style="1" customWidth="1"/>
    <col min="6533" max="6533" width="18" style="1" customWidth="1"/>
    <col min="6534" max="6534" width="1.140625" style="1" customWidth="1"/>
    <col min="6535" max="6535" width="15.28515625" style="1" customWidth="1"/>
    <col min="6536" max="6536" width="0.7109375" style="1" customWidth="1"/>
    <col min="6537" max="6537" width="15.28515625" style="1" customWidth="1"/>
    <col min="6538" max="6538" width="0.7109375" style="1" customWidth="1"/>
    <col min="6539" max="6539" width="15.28515625" style="1" customWidth="1"/>
    <col min="6540" max="6540" width="14.42578125" style="1" bestFit="1" customWidth="1"/>
    <col min="6541" max="6543" width="16" style="1" customWidth="1"/>
    <col min="6544" max="6544" width="14.42578125" style="1" bestFit="1" customWidth="1"/>
    <col min="6545" max="6781" width="11.42578125" style="1"/>
    <col min="6782" max="6782" width="1.7109375" style="1" customWidth="1"/>
    <col min="6783" max="6783" width="45.42578125" style="1" customWidth="1"/>
    <col min="6784" max="6784" width="1.140625" style="1" customWidth="1"/>
    <col min="6785" max="6785" width="16.5703125" style="1" customWidth="1"/>
    <col min="6786" max="6786" width="0.7109375" style="1" customWidth="1"/>
    <col min="6787" max="6787" width="16.5703125" style="1" customWidth="1"/>
    <col min="6788" max="6788" width="0.7109375" style="1" customWidth="1"/>
    <col min="6789" max="6789" width="18" style="1" customWidth="1"/>
    <col min="6790" max="6790" width="1.140625" style="1" customWidth="1"/>
    <col min="6791" max="6791" width="15.28515625" style="1" customWidth="1"/>
    <col min="6792" max="6792" width="0.7109375" style="1" customWidth="1"/>
    <col min="6793" max="6793" width="15.28515625" style="1" customWidth="1"/>
    <col min="6794" max="6794" width="0.7109375" style="1" customWidth="1"/>
    <col min="6795" max="6795" width="15.28515625" style="1" customWidth="1"/>
    <col min="6796" max="6796" width="14.42578125" style="1" bestFit="1" customWidth="1"/>
    <col min="6797" max="6799" width="16" style="1" customWidth="1"/>
    <col min="6800" max="6800" width="14.42578125" style="1" bestFit="1" customWidth="1"/>
    <col min="6801" max="7037" width="11.42578125" style="1"/>
    <col min="7038" max="7038" width="1.7109375" style="1" customWidth="1"/>
    <col min="7039" max="7039" width="45.42578125" style="1" customWidth="1"/>
    <col min="7040" max="7040" width="1.140625" style="1" customWidth="1"/>
    <col min="7041" max="7041" width="16.5703125" style="1" customWidth="1"/>
    <col min="7042" max="7042" width="0.7109375" style="1" customWidth="1"/>
    <col min="7043" max="7043" width="16.5703125" style="1" customWidth="1"/>
    <col min="7044" max="7044" width="0.7109375" style="1" customWidth="1"/>
    <col min="7045" max="7045" width="18" style="1" customWidth="1"/>
    <col min="7046" max="7046" width="1.140625" style="1" customWidth="1"/>
    <col min="7047" max="7047" width="15.28515625" style="1" customWidth="1"/>
    <col min="7048" max="7048" width="0.7109375" style="1" customWidth="1"/>
    <col min="7049" max="7049" width="15.28515625" style="1" customWidth="1"/>
    <col min="7050" max="7050" width="0.7109375" style="1" customWidth="1"/>
    <col min="7051" max="7051" width="15.28515625" style="1" customWidth="1"/>
    <col min="7052" max="7052" width="14.42578125" style="1" bestFit="1" customWidth="1"/>
    <col min="7053" max="7055" width="16" style="1" customWidth="1"/>
    <col min="7056" max="7056" width="14.42578125" style="1" bestFit="1" customWidth="1"/>
    <col min="7057" max="7293" width="11.42578125" style="1"/>
    <col min="7294" max="7294" width="1.7109375" style="1" customWidth="1"/>
    <col min="7295" max="7295" width="45.42578125" style="1" customWidth="1"/>
    <col min="7296" max="7296" width="1.140625" style="1" customWidth="1"/>
    <col min="7297" max="7297" width="16.5703125" style="1" customWidth="1"/>
    <col min="7298" max="7298" width="0.7109375" style="1" customWidth="1"/>
    <col min="7299" max="7299" width="16.5703125" style="1" customWidth="1"/>
    <col min="7300" max="7300" width="0.7109375" style="1" customWidth="1"/>
    <col min="7301" max="7301" width="18" style="1" customWidth="1"/>
    <col min="7302" max="7302" width="1.140625" style="1" customWidth="1"/>
    <col min="7303" max="7303" width="15.28515625" style="1" customWidth="1"/>
    <col min="7304" max="7304" width="0.7109375" style="1" customWidth="1"/>
    <col min="7305" max="7305" width="15.28515625" style="1" customWidth="1"/>
    <col min="7306" max="7306" width="0.7109375" style="1" customWidth="1"/>
    <col min="7307" max="7307" width="15.28515625" style="1" customWidth="1"/>
    <col min="7308" max="7308" width="14.42578125" style="1" bestFit="1" customWidth="1"/>
    <col min="7309" max="7311" width="16" style="1" customWidth="1"/>
    <col min="7312" max="7312" width="14.42578125" style="1" bestFit="1" customWidth="1"/>
    <col min="7313" max="7549" width="11.42578125" style="1"/>
    <col min="7550" max="7550" width="1.7109375" style="1" customWidth="1"/>
    <col min="7551" max="7551" width="45.42578125" style="1" customWidth="1"/>
    <col min="7552" max="7552" width="1.140625" style="1" customWidth="1"/>
    <col min="7553" max="7553" width="16.5703125" style="1" customWidth="1"/>
    <col min="7554" max="7554" width="0.7109375" style="1" customWidth="1"/>
    <col min="7555" max="7555" width="16.5703125" style="1" customWidth="1"/>
    <col min="7556" max="7556" width="0.7109375" style="1" customWidth="1"/>
    <col min="7557" max="7557" width="18" style="1" customWidth="1"/>
    <col min="7558" max="7558" width="1.140625" style="1" customWidth="1"/>
    <col min="7559" max="7559" width="15.28515625" style="1" customWidth="1"/>
    <col min="7560" max="7560" width="0.7109375" style="1" customWidth="1"/>
    <col min="7561" max="7561" width="15.28515625" style="1" customWidth="1"/>
    <col min="7562" max="7562" width="0.7109375" style="1" customWidth="1"/>
    <col min="7563" max="7563" width="15.28515625" style="1" customWidth="1"/>
    <col min="7564" max="7564" width="14.42578125" style="1" bestFit="1" customWidth="1"/>
    <col min="7565" max="7567" width="16" style="1" customWidth="1"/>
    <col min="7568" max="7568" width="14.42578125" style="1" bestFit="1" customWidth="1"/>
    <col min="7569" max="7805" width="11.42578125" style="1"/>
    <col min="7806" max="7806" width="1.7109375" style="1" customWidth="1"/>
    <col min="7807" max="7807" width="45.42578125" style="1" customWidth="1"/>
    <col min="7808" max="7808" width="1.140625" style="1" customWidth="1"/>
    <col min="7809" max="7809" width="16.5703125" style="1" customWidth="1"/>
    <col min="7810" max="7810" width="0.7109375" style="1" customWidth="1"/>
    <col min="7811" max="7811" width="16.5703125" style="1" customWidth="1"/>
    <col min="7812" max="7812" width="0.7109375" style="1" customWidth="1"/>
    <col min="7813" max="7813" width="18" style="1" customWidth="1"/>
    <col min="7814" max="7814" width="1.140625" style="1" customWidth="1"/>
    <col min="7815" max="7815" width="15.28515625" style="1" customWidth="1"/>
    <col min="7816" max="7816" width="0.7109375" style="1" customWidth="1"/>
    <col min="7817" max="7817" width="15.28515625" style="1" customWidth="1"/>
    <col min="7818" max="7818" width="0.7109375" style="1" customWidth="1"/>
    <col min="7819" max="7819" width="15.28515625" style="1" customWidth="1"/>
    <col min="7820" max="7820" width="14.42578125" style="1" bestFit="1" customWidth="1"/>
    <col min="7821" max="7823" width="16" style="1" customWidth="1"/>
    <col min="7824" max="7824" width="14.42578125" style="1" bestFit="1" customWidth="1"/>
    <col min="7825" max="8061" width="11.42578125" style="1"/>
    <col min="8062" max="8062" width="1.7109375" style="1" customWidth="1"/>
    <col min="8063" max="8063" width="45.42578125" style="1" customWidth="1"/>
    <col min="8064" max="8064" width="1.140625" style="1" customWidth="1"/>
    <col min="8065" max="8065" width="16.5703125" style="1" customWidth="1"/>
    <col min="8066" max="8066" width="0.7109375" style="1" customWidth="1"/>
    <col min="8067" max="8067" width="16.5703125" style="1" customWidth="1"/>
    <col min="8068" max="8068" width="0.7109375" style="1" customWidth="1"/>
    <col min="8069" max="8069" width="18" style="1" customWidth="1"/>
    <col min="8070" max="8070" width="1.140625" style="1" customWidth="1"/>
    <col min="8071" max="8071" width="15.28515625" style="1" customWidth="1"/>
    <col min="8072" max="8072" width="0.7109375" style="1" customWidth="1"/>
    <col min="8073" max="8073" width="15.28515625" style="1" customWidth="1"/>
    <col min="8074" max="8074" width="0.7109375" style="1" customWidth="1"/>
    <col min="8075" max="8075" width="15.28515625" style="1" customWidth="1"/>
    <col min="8076" max="8076" width="14.42578125" style="1" bestFit="1" customWidth="1"/>
    <col min="8077" max="8079" width="16" style="1" customWidth="1"/>
    <col min="8080" max="8080" width="14.42578125" style="1" bestFit="1" customWidth="1"/>
    <col min="8081" max="8317" width="11.42578125" style="1"/>
    <col min="8318" max="8318" width="1.7109375" style="1" customWidth="1"/>
    <col min="8319" max="8319" width="45.42578125" style="1" customWidth="1"/>
    <col min="8320" max="8320" width="1.140625" style="1" customWidth="1"/>
    <col min="8321" max="8321" width="16.5703125" style="1" customWidth="1"/>
    <col min="8322" max="8322" width="0.7109375" style="1" customWidth="1"/>
    <col min="8323" max="8323" width="16.5703125" style="1" customWidth="1"/>
    <col min="8324" max="8324" width="0.7109375" style="1" customWidth="1"/>
    <col min="8325" max="8325" width="18" style="1" customWidth="1"/>
    <col min="8326" max="8326" width="1.140625" style="1" customWidth="1"/>
    <col min="8327" max="8327" width="15.28515625" style="1" customWidth="1"/>
    <col min="8328" max="8328" width="0.7109375" style="1" customWidth="1"/>
    <col min="8329" max="8329" width="15.28515625" style="1" customWidth="1"/>
    <col min="8330" max="8330" width="0.7109375" style="1" customWidth="1"/>
    <col min="8331" max="8331" width="15.28515625" style="1" customWidth="1"/>
    <col min="8332" max="8332" width="14.42578125" style="1" bestFit="1" customWidth="1"/>
    <col min="8333" max="8335" width="16" style="1" customWidth="1"/>
    <col min="8336" max="8336" width="14.42578125" style="1" bestFit="1" customWidth="1"/>
    <col min="8337" max="8573" width="11.42578125" style="1"/>
    <col min="8574" max="8574" width="1.7109375" style="1" customWidth="1"/>
    <col min="8575" max="8575" width="45.42578125" style="1" customWidth="1"/>
    <col min="8576" max="8576" width="1.140625" style="1" customWidth="1"/>
    <col min="8577" max="8577" width="16.5703125" style="1" customWidth="1"/>
    <col min="8578" max="8578" width="0.7109375" style="1" customWidth="1"/>
    <col min="8579" max="8579" width="16.5703125" style="1" customWidth="1"/>
    <col min="8580" max="8580" width="0.7109375" style="1" customWidth="1"/>
    <col min="8581" max="8581" width="18" style="1" customWidth="1"/>
    <col min="8582" max="8582" width="1.140625" style="1" customWidth="1"/>
    <col min="8583" max="8583" width="15.28515625" style="1" customWidth="1"/>
    <col min="8584" max="8584" width="0.7109375" style="1" customWidth="1"/>
    <col min="8585" max="8585" width="15.28515625" style="1" customWidth="1"/>
    <col min="8586" max="8586" width="0.7109375" style="1" customWidth="1"/>
    <col min="8587" max="8587" width="15.28515625" style="1" customWidth="1"/>
    <col min="8588" max="8588" width="14.42578125" style="1" bestFit="1" customWidth="1"/>
    <col min="8589" max="8591" width="16" style="1" customWidth="1"/>
    <col min="8592" max="8592" width="14.42578125" style="1" bestFit="1" customWidth="1"/>
    <col min="8593" max="8829" width="11.42578125" style="1"/>
    <col min="8830" max="8830" width="1.7109375" style="1" customWidth="1"/>
    <col min="8831" max="8831" width="45.42578125" style="1" customWidth="1"/>
    <col min="8832" max="8832" width="1.140625" style="1" customWidth="1"/>
    <col min="8833" max="8833" width="16.5703125" style="1" customWidth="1"/>
    <col min="8834" max="8834" width="0.7109375" style="1" customWidth="1"/>
    <col min="8835" max="8835" width="16.5703125" style="1" customWidth="1"/>
    <col min="8836" max="8836" width="0.7109375" style="1" customWidth="1"/>
    <col min="8837" max="8837" width="18" style="1" customWidth="1"/>
    <col min="8838" max="8838" width="1.140625" style="1" customWidth="1"/>
    <col min="8839" max="8839" width="15.28515625" style="1" customWidth="1"/>
    <col min="8840" max="8840" width="0.7109375" style="1" customWidth="1"/>
    <col min="8841" max="8841" width="15.28515625" style="1" customWidth="1"/>
    <col min="8842" max="8842" width="0.7109375" style="1" customWidth="1"/>
    <col min="8843" max="8843" width="15.28515625" style="1" customWidth="1"/>
    <col min="8844" max="8844" width="14.42578125" style="1" bestFit="1" customWidth="1"/>
    <col min="8845" max="8847" width="16" style="1" customWidth="1"/>
    <col min="8848" max="8848" width="14.42578125" style="1" bestFit="1" customWidth="1"/>
    <col min="8849" max="9085" width="11.42578125" style="1"/>
    <col min="9086" max="9086" width="1.7109375" style="1" customWidth="1"/>
    <col min="9087" max="9087" width="45.42578125" style="1" customWidth="1"/>
    <col min="9088" max="9088" width="1.140625" style="1" customWidth="1"/>
    <col min="9089" max="9089" width="16.5703125" style="1" customWidth="1"/>
    <col min="9090" max="9090" width="0.7109375" style="1" customWidth="1"/>
    <col min="9091" max="9091" width="16.5703125" style="1" customWidth="1"/>
    <col min="9092" max="9092" width="0.7109375" style="1" customWidth="1"/>
    <col min="9093" max="9093" width="18" style="1" customWidth="1"/>
    <col min="9094" max="9094" width="1.140625" style="1" customWidth="1"/>
    <col min="9095" max="9095" width="15.28515625" style="1" customWidth="1"/>
    <col min="9096" max="9096" width="0.7109375" style="1" customWidth="1"/>
    <col min="9097" max="9097" width="15.28515625" style="1" customWidth="1"/>
    <col min="9098" max="9098" width="0.7109375" style="1" customWidth="1"/>
    <col min="9099" max="9099" width="15.28515625" style="1" customWidth="1"/>
    <col min="9100" max="9100" width="14.42578125" style="1" bestFit="1" customWidth="1"/>
    <col min="9101" max="9103" width="16" style="1" customWidth="1"/>
    <col min="9104" max="9104" width="14.42578125" style="1" bestFit="1" customWidth="1"/>
    <col min="9105" max="9341" width="11.42578125" style="1"/>
    <col min="9342" max="9342" width="1.7109375" style="1" customWidth="1"/>
    <col min="9343" max="9343" width="45.42578125" style="1" customWidth="1"/>
    <col min="9344" max="9344" width="1.140625" style="1" customWidth="1"/>
    <col min="9345" max="9345" width="16.5703125" style="1" customWidth="1"/>
    <col min="9346" max="9346" width="0.7109375" style="1" customWidth="1"/>
    <col min="9347" max="9347" width="16.5703125" style="1" customWidth="1"/>
    <col min="9348" max="9348" width="0.7109375" style="1" customWidth="1"/>
    <col min="9349" max="9349" width="18" style="1" customWidth="1"/>
    <col min="9350" max="9350" width="1.140625" style="1" customWidth="1"/>
    <col min="9351" max="9351" width="15.28515625" style="1" customWidth="1"/>
    <col min="9352" max="9352" width="0.7109375" style="1" customWidth="1"/>
    <col min="9353" max="9353" width="15.28515625" style="1" customWidth="1"/>
    <col min="9354" max="9354" width="0.7109375" style="1" customWidth="1"/>
    <col min="9355" max="9355" width="15.28515625" style="1" customWidth="1"/>
    <col min="9356" max="9356" width="14.42578125" style="1" bestFit="1" customWidth="1"/>
    <col min="9357" max="9359" width="16" style="1" customWidth="1"/>
    <col min="9360" max="9360" width="14.42578125" style="1" bestFit="1" customWidth="1"/>
    <col min="9361" max="9597" width="11.42578125" style="1"/>
    <col min="9598" max="9598" width="1.7109375" style="1" customWidth="1"/>
    <col min="9599" max="9599" width="45.42578125" style="1" customWidth="1"/>
    <col min="9600" max="9600" width="1.140625" style="1" customWidth="1"/>
    <col min="9601" max="9601" width="16.5703125" style="1" customWidth="1"/>
    <col min="9602" max="9602" width="0.7109375" style="1" customWidth="1"/>
    <col min="9603" max="9603" width="16.5703125" style="1" customWidth="1"/>
    <col min="9604" max="9604" width="0.7109375" style="1" customWidth="1"/>
    <col min="9605" max="9605" width="18" style="1" customWidth="1"/>
    <col min="9606" max="9606" width="1.140625" style="1" customWidth="1"/>
    <col min="9607" max="9607" width="15.28515625" style="1" customWidth="1"/>
    <col min="9608" max="9608" width="0.7109375" style="1" customWidth="1"/>
    <col min="9609" max="9609" width="15.28515625" style="1" customWidth="1"/>
    <col min="9610" max="9610" width="0.7109375" style="1" customWidth="1"/>
    <col min="9611" max="9611" width="15.28515625" style="1" customWidth="1"/>
    <col min="9612" max="9612" width="14.42578125" style="1" bestFit="1" customWidth="1"/>
    <col min="9613" max="9615" width="16" style="1" customWidth="1"/>
    <col min="9616" max="9616" width="14.42578125" style="1" bestFit="1" customWidth="1"/>
    <col min="9617" max="9853" width="11.42578125" style="1"/>
    <col min="9854" max="9854" width="1.7109375" style="1" customWidth="1"/>
    <col min="9855" max="9855" width="45.42578125" style="1" customWidth="1"/>
    <col min="9856" max="9856" width="1.140625" style="1" customWidth="1"/>
    <col min="9857" max="9857" width="16.5703125" style="1" customWidth="1"/>
    <col min="9858" max="9858" width="0.7109375" style="1" customWidth="1"/>
    <col min="9859" max="9859" width="16.5703125" style="1" customWidth="1"/>
    <col min="9860" max="9860" width="0.7109375" style="1" customWidth="1"/>
    <col min="9861" max="9861" width="18" style="1" customWidth="1"/>
    <col min="9862" max="9862" width="1.140625" style="1" customWidth="1"/>
    <col min="9863" max="9863" width="15.28515625" style="1" customWidth="1"/>
    <col min="9864" max="9864" width="0.7109375" style="1" customWidth="1"/>
    <col min="9865" max="9865" width="15.28515625" style="1" customWidth="1"/>
    <col min="9866" max="9866" width="0.7109375" style="1" customWidth="1"/>
    <col min="9867" max="9867" width="15.28515625" style="1" customWidth="1"/>
    <col min="9868" max="9868" width="14.42578125" style="1" bestFit="1" customWidth="1"/>
    <col min="9869" max="9871" width="16" style="1" customWidth="1"/>
    <col min="9872" max="9872" width="14.42578125" style="1" bestFit="1" customWidth="1"/>
    <col min="9873" max="10109" width="11.42578125" style="1"/>
    <col min="10110" max="10110" width="1.7109375" style="1" customWidth="1"/>
    <col min="10111" max="10111" width="45.42578125" style="1" customWidth="1"/>
    <col min="10112" max="10112" width="1.140625" style="1" customWidth="1"/>
    <col min="10113" max="10113" width="16.5703125" style="1" customWidth="1"/>
    <col min="10114" max="10114" width="0.7109375" style="1" customWidth="1"/>
    <col min="10115" max="10115" width="16.5703125" style="1" customWidth="1"/>
    <col min="10116" max="10116" width="0.7109375" style="1" customWidth="1"/>
    <col min="10117" max="10117" width="18" style="1" customWidth="1"/>
    <col min="10118" max="10118" width="1.140625" style="1" customWidth="1"/>
    <col min="10119" max="10119" width="15.28515625" style="1" customWidth="1"/>
    <col min="10120" max="10120" width="0.7109375" style="1" customWidth="1"/>
    <col min="10121" max="10121" width="15.28515625" style="1" customWidth="1"/>
    <col min="10122" max="10122" width="0.7109375" style="1" customWidth="1"/>
    <col min="10123" max="10123" width="15.28515625" style="1" customWidth="1"/>
    <col min="10124" max="10124" width="14.42578125" style="1" bestFit="1" customWidth="1"/>
    <col min="10125" max="10127" width="16" style="1" customWidth="1"/>
    <col min="10128" max="10128" width="14.42578125" style="1" bestFit="1" customWidth="1"/>
    <col min="10129" max="10365" width="11.42578125" style="1"/>
    <col min="10366" max="10366" width="1.7109375" style="1" customWidth="1"/>
    <col min="10367" max="10367" width="45.42578125" style="1" customWidth="1"/>
    <col min="10368" max="10368" width="1.140625" style="1" customWidth="1"/>
    <col min="10369" max="10369" width="16.5703125" style="1" customWidth="1"/>
    <col min="10370" max="10370" width="0.7109375" style="1" customWidth="1"/>
    <col min="10371" max="10371" width="16.5703125" style="1" customWidth="1"/>
    <col min="10372" max="10372" width="0.7109375" style="1" customWidth="1"/>
    <col min="10373" max="10373" width="18" style="1" customWidth="1"/>
    <col min="10374" max="10374" width="1.140625" style="1" customWidth="1"/>
    <col min="10375" max="10375" width="15.28515625" style="1" customWidth="1"/>
    <col min="10376" max="10376" width="0.7109375" style="1" customWidth="1"/>
    <col min="10377" max="10377" width="15.28515625" style="1" customWidth="1"/>
    <col min="10378" max="10378" width="0.7109375" style="1" customWidth="1"/>
    <col min="10379" max="10379" width="15.28515625" style="1" customWidth="1"/>
    <col min="10380" max="10380" width="14.42578125" style="1" bestFit="1" customWidth="1"/>
    <col min="10381" max="10383" width="16" style="1" customWidth="1"/>
    <col min="10384" max="10384" width="14.42578125" style="1" bestFit="1" customWidth="1"/>
    <col min="10385" max="10621" width="11.42578125" style="1"/>
    <col min="10622" max="10622" width="1.7109375" style="1" customWidth="1"/>
    <col min="10623" max="10623" width="45.42578125" style="1" customWidth="1"/>
    <col min="10624" max="10624" width="1.140625" style="1" customWidth="1"/>
    <col min="10625" max="10625" width="16.5703125" style="1" customWidth="1"/>
    <col min="10626" max="10626" width="0.7109375" style="1" customWidth="1"/>
    <col min="10627" max="10627" width="16.5703125" style="1" customWidth="1"/>
    <col min="10628" max="10628" width="0.7109375" style="1" customWidth="1"/>
    <col min="10629" max="10629" width="18" style="1" customWidth="1"/>
    <col min="10630" max="10630" width="1.140625" style="1" customWidth="1"/>
    <col min="10631" max="10631" width="15.28515625" style="1" customWidth="1"/>
    <col min="10632" max="10632" width="0.7109375" style="1" customWidth="1"/>
    <col min="10633" max="10633" width="15.28515625" style="1" customWidth="1"/>
    <col min="10634" max="10634" width="0.7109375" style="1" customWidth="1"/>
    <col min="10635" max="10635" width="15.28515625" style="1" customWidth="1"/>
    <col min="10636" max="10636" width="14.42578125" style="1" bestFit="1" customWidth="1"/>
    <col min="10637" max="10639" width="16" style="1" customWidth="1"/>
    <col min="10640" max="10640" width="14.42578125" style="1" bestFit="1" customWidth="1"/>
    <col min="10641" max="10877" width="11.42578125" style="1"/>
    <col min="10878" max="10878" width="1.7109375" style="1" customWidth="1"/>
    <col min="10879" max="10879" width="45.42578125" style="1" customWidth="1"/>
    <col min="10880" max="10880" width="1.140625" style="1" customWidth="1"/>
    <col min="10881" max="10881" width="16.5703125" style="1" customWidth="1"/>
    <col min="10882" max="10882" width="0.7109375" style="1" customWidth="1"/>
    <col min="10883" max="10883" width="16.5703125" style="1" customWidth="1"/>
    <col min="10884" max="10884" width="0.7109375" style="1" customWidth="1"/>
    <col min="10885" max="10885" width="18" style="1" customWidth="1"/>
    <col min="10886" max="10886" width="1.140625" style="1" customWidth="1"/>
    <col min="10887" max="10887" width="15.28515625" style="1" customWidth="1"/>
    <col min="10888" max="10888" width="0.7109375" style="1" customWidth="1"/>
    <col min="10889" max="10889" width="15.28515625" style="1" customWidth="1"/>
    <col min="10890" max="10890" width="0.7109375" style="1" customWidth="1"/>
    <col min="10891" max="10891" width="15.28515625" style="1" customWidth="1"/>
    <col min="10892" max="10892" width="14.42578125" style="1" bestFit="1" customWidth="1"/>
    <col min="10893" max="10895" width="16" style="1" customWidth="1"/>
    <col min="10896" max="10896" width="14.42578125" style="1" bestFit="1" customWidth="1"/>
    <col min="10897" max="11133" width="11.42578125" style="1"/>
    <col min="11134" max="11134" width="1.7109375" style="1" customWidth="1"/>
    <col min="11135" max="11135" width="45.42578125" style="1" customWidth="1"/>
    <col min="11136" max="11136" width="1.140625" style="1" customWidth="1"/>
    <col min="11137" max="11137" width="16.5703125" style="1" customWidth="1"/>
    <col min="11138" max="11138" width="0.7109375" style="1" customWidth="1"/>
    <col min="11139" max="11139" width="16.5703125" style="1" customWidth="1"/>
    <col min="11140" max="11140" width="0.7109375" style="1" customWidth="1"/>
    <col min="11141" max="11141" width="18" style="1" customWidth="1"/>
    <col min="11142" max="11142" width="1.140625" style="1" customWidth="1"/>
    <col min="11143" max="11143" width="15.28515625" style="1" customWidth="1"/>
    <col min="11144" max="11144" width="0.7109375" style="1" customWidth="1"/>
    <col min="11145" max="11145" width="15.28515625" style="1" customWidth="1"/>
    <col min="11146" max="11146" width="0.7109375" style="1" customWidth="1"/>
    <col min="11147" max="11147" width="15.28515625" style="1" customWidth="1"/>
    <col min="11148" max="11148" width="14.42578125" style="1" bestFit="1" customWidth="1"/>
    <col min="11149" max="11151" width="16" style="1" customWidth="1"/>
    <col min="11152" max="11152" width="14.42578125" style="1" bestFit="1" customWidth="1"/>
    <col min="11153" max="11389" width="11.42578125" style="1"/>
    <col min="11390" max="11390" width="1.7109375" style="1" customWidth="1"/>
    <col min="11391" max="11391" width="45.42578125" style="1" customWidth="1"/>
    <col min="11392" max="11392" width="1.140625" style="1" customWidth="1"/>
    <col min="11393" max="11393" width="16.5703125" style="1" customWidth="1"/>
    <col min="11394" max="11394" width="0.7109375" style="1" customWidth="1"/>
    <col min="11395" max="11395" width="16.5703125" style="1" customWidth="1"/>
    <col min="11396" max="11396" width="0.7109375" style="1" customWidth="1"/>
    <col min="11397" max="11397" width="18" style="1" customWidth="1"/>
    <col min="11398" max="11398" width="1.140625" style="1" customWidth="1"/>
    <col min="11399" max="11399" width="15.28515625" style="1" customWidth="1"/>
    <col min="11400" max="11400" width="0.7109375" style="1" customWidth="1"/>
    <col min="11401" max="11401" width="15.28515625" style="1" customWidth="1"/>
    <col min="11402" max="11402" width="0.7109375" style="1" customWidth="1"/>
    <col min="11403" max="11403" width="15.28515625" style="1" customWidth="1"/>
    <col min="11404" max="11404" width="14.42578125" style="1" bestFit="1" customWidth="1"/>
    <col min="11405" max="11407" width="16" style="1" customWidth="1"/>
    <col min="11408" max="11408" width="14.42578125" style="1" bestFit="1" customWidth="1"/>
    <col min="11409" max="11645" width="11.42578125" style="1"/>
    <col min="11646" max="11646" width="1.7109375" style="1" customWidth="1"/>
    <col min="11647" max="11647" width="45.42578125" style="1" customWidth="1"/>
    <col min="11648" max="11648" width="1.140625" style="1" customWidth="1"/>
    <col min="11649" max="11649" width="16.5703125" style="1" customWidth="1"/>
    <col min="11650" max="11650" width="0.7109375" style="1" customWidth="1"/>
    <col min="11651" max="11651" width="16.5703125" style="1" customWidth="1"/>
    <col min="11652" max="11652" width="0.7109375" style="1" customWidth="1"/>
    <col min="11653" max="11653" width="18" style="1" customWidth="1"/>
    <col min="11654" max="11654" width="1.140625" style="1" customWidth="1"/>
    <col min="11655" max="11655" width="15.28515625" style="1" customWidth="1"/>
    <col min="11656" max="11656" width="0.7109375" style="1" customWidth="1"/>
    <col min="11657" max="11657" width="15.28515625" style="1" customWidth="1"/>
    <col min="11658" max="11658" width="0.7109375" style="1" customWidth="1"/>
    <col min="11659" max="11659" width="15.28515625" style="1" customWidth="1"/>
    <col min="11660" max="11660" width="14.42578125" style="1" bestFit="1" customWidth="1"/>
    <col min="11661" max="11663" width="16" style="1" customWidth="1"/>
    <col min="11664" max="11664" width="14.42578125" style="1" bestFit="1" customWidth="1"/>
    <col min="11665" max="11901" width="11.42578125" style="1"/>
    <col min="11902" max="11902" width="1.7109375" style="1" customWidth="1"/>
    <col min="11903" max="11903" width="45.42578125" style="1" customWidth="1"/>
    <col min="11904" max="11904" width="1.140625" style="1" customWidth="1"/>
    <col min="11905" max="11905" width="16.5703125" style="1" customWidth="1"/>
    <col min="11906" max="11906" width="0.7109375" style="1" customWidth="1"/>
    <col min="11907" max="11907" width="16.5703125" style="1" customWidth="1"/>
    <col min="11908" max="11908" width="0.7109375" style="1" customWidth="1"/>
    <col min="11909" max="11909" width="18" style="1" customWidth="1"/>
    <col min="11910" max="11910" width="1.140625" style="1" customWidth="1"/>
    <col min="11911" max="11911" width="15.28515625" style="1" customWidth="1"/>
    <col min="11912" max="11912" width="0.7109375" style="1" customWidth="1"/>
    <col min="11913" max="11913" width="15.28515625" style="1" customWidth="1"/>
    <col min="11914" max="11914" width="0.7109375" style="1" customWidth="1"/>
    <col min="11915" max="11915" width="15.28515625" style="1" customWidth="1"/>
    <col min="11916" max="11916" width="14.42578125" style="1" bestFit="1" customWidth="1"/>
    <col min="11917" max="11919" width="16" style="1" customWidth="1"/>
    <col min="11920" max="11920" width="14.42578125" style="1" bestFit="1" customWidth="1"/>
    <col min="11921" max="12157" width="11.42578125" style="1"/>
    <col min="12158" max="12158" width="1.7109375" style="1" customWidth="1"/>
    <col min="12159" max="12159" width="45.42578125" style="1" customWidth="1"/>
    <col min="12160" max="12160" width="1.140625" style="1" customWidth="1"/>
    <col min="12161" max="12161" width="16.5703125" style="1" customWidth="1"/>
    <col min="12162" max="12162" width="0.7109375" style="1" customWidth="1"/>
    <col min="12163" max="12163" width="16.5703125" style="1" customWidth="1"/>
    <col min="12164" max="12164" width="0.7109375" style="1" customWidth="1"/>
    <col min="12165" max="12165" width="18" style="1" customWidth="1"/>
    <col min="12166" max="12166" width="1.140625" style="1" customWidth="1"/>
    <col min="12167" max="12167" width="15.28515625" style="1" customWidth="1"/>
    <col min="12168" max="12168" width="0.7109375" style="1" customWidth="1"/>
    <col min="12169" max="12169" width="15.28515625" style="1" customWidth="1"/>
    <col min="12170" max="12170" width="0.7109375" style="1" customWidth="1"/>
    <col min="12171" max="12171" width="15.28515625" style="1" customWidth="1"/>
    <col min="12172" max="12172" width="14.42578125" style="1" bestFit="1" customWidth="1"/>
    <col min="12173" max="12175" width="16" style="1" customWidth="1"/>
    <col min="12176" max="12176" width="14.42578125" style="1" bestFit="1" customWidth="1"/>
    <col min="12177" max="12413" width="11.42578125" style="1"/>
    <col min="12414" max="12414" width="1.7109375" style="1" customWidth="1"/>
    <col min="12415" max="12415" width="45.42578125" style="1" customWidth="1"/>
    <col min="12416" max="12416" width="1.140625" style="1" customWidth="1"/>
    <col min="12417" max="12417" width="16.5703125" style="1" customWidth="1"/>
    <col min="12418" max="12418" width="0.7109375" style="1" customWidth="1"/>
    <col min="12419" max="12419" width="16.5703125" style="1" customWidth="1"/>
    <col min="12420" max="12420" width="0.7109375" style="1" customWidth="1"/>
    <col min="12421" max="12421" width="18" style="1" customWidth="1"/>
    <col min="12422" max="12422" width="1.140625" style="1" customWidth="1"/>
    <col min="12423" max="12423" width="15.28515625" style="1" customWidth="1"/>
    <col min="12424" max="12424" width="0.7109375" style="1" customWidth="1"/>
    <col min="12425" max="12425" width="15.28515625" style="1" customWidth="1"/>
    <col min="12426" max="12426" width="0.7109375" style="1" customWidth="1"/>
    <col min="12427" max="12427" width="15.28515625" style="1" customWidth="1"/>
    <col min="12428" max="12428" width="14.42578125" style="1" bestFit="1" customWidth="1"/>
    <col min="12429" max="12431" width="16" style="1" customWidth="1"/>
    <col min="12432" max="12432" width="14.42578125" style="1" bestFit="1" customWidth="1"/>
    <col min="12433" max="12669" width="11.42578125" style="1"/>
    <col min="12670" max="12670" width="1.7109375" style="1" customWidth="1"/>
    <col min="12671" max="12671" width="45.42578125" style="1" customWidth="1"/>
    <col min="12672" max="12672" width="1.140625" style="1" customWidth="1"/>
    <col min="12673" max="12673" width="16.5703125" style="1" customWidth="1"/>
    <col min="12674" max="12674" width="0.7109375" style="1" customWidth="1"/>
    <col min="12675" max="12675" width="16.5703125" style="1" customWidth="1"/>
    <col min="12676" max="12676" width="0.7109375" style="1" customWidth="1"/>
    <col min="12677" max="12677" width="18" style="1" customWidth="1"/>
    <col min="12678" max="12678" width="1.140625" style="1" customWidth="1"/>
    <col min="12679" max="12679" width="15.28515625" style="1" customWidth="1"/>
    <col min="12680" max="12680" width="0.7109375" style="1" customWidth="1"/>
    <col min="12681" max="12681" width="15.28515625" style="1" customWidth="1"/>
    <col min="12682" max="12682" width="0.7109375" style="1" customWidth="1"/>
    <col min="12683" max="12683" width="15.28515625" style="1" customWidth="1"/>
    <col min="12684" max="12684" width="14.42578125" style="1" bestFit="1" customWidth="1"/>
    <col min="12685" max="12687" width="16" style="1" customWidth="1"/>
    <col min="12688" max="12688" width="14.42578125" style="1" bestFit="1" customWidth="1"/>
    <col min="12689" max="12925" width="11.42578125" style="1"/>
    <col min="12926" max="12926" width="1.7109375" style="1" customWidth="1"/>
    <col min="12927" max="12927" width="45.42578125" style="1" customWidth="1"/>
    <col min="12928" max="12928" width="1.140625" style="1" customWidth="1"/>
    <col min="12929" max="12929" width="16.5703125" style="1" customWidth="1"/>
    <col min="12930" max="12930" width="0.7109375" style="1" customWidth="1"/>
    <col min="12931" max="12931" width="16.5703125" style="1" customWidth="1"/>
    <col min="12932" max="12932" width="0.7109375" style="1" customWidth="1"/>
    <col min="12933" max="12933" width="18" style="1" customWidth="1"/>
    <col min="12934" max="12934" width="1.140625" style="1" customWidth="1"/>
    <col min="12935" max="12935" width="15.28515625" style="1" customWidth="1"/>
    <col min="12936" max="12936" width="0.7109375" style="1" customWidth="1"/>
    <col min="12937" max="12937" width="15.28515625" style="1" customWidth="1"/>
    <col min="12938" max="12938" width="0.7109375" style="1" customWidth="1"/>
    <col min="12939" max="12939" width="15.28515625" style="1" customWidth="1"/>
    <col min="12940" max="12940" width="14.42578125" style="1" bestFit="1" customWidth="1"/>
    <col min="12941" max="12943" width="16" style="1" customWidth="1"/>
    <col min="12944" max="12944" width="14.42578125" style="1" bestFit="1" customWidth="1"/>
    <col min="12945" max="13181" width="11.42578125" style="1"/>
    <col min="13182" max="13182" width="1.7109375" style="1" customWidth="1"/>
    <col min="13183" max="13183" width="45.42578125" style="1" customWidth="1"/>
    <col min="13184" max="13184" width="1.140625" style="1" customWidth="1"/>
    <col min="13185" max="13185" width="16.5703125" style="1" customWidth="1"/>
    <col min="13186" max="13186" width="0.7109375" style="1" customWidth="1"/>
    <col min="13187" max="13187" width="16.5703125" style="1" customWidth="1"/>
    <col min="13188" max="13188" width="0.7109375" style="1" customWidth="1"/>
    <col min="13189" max="13189" width="18" style="1" customWidth="1"/>
    <col min="13190" max="13190" width="1.140625" style="1" customWidth="1"/>
    <col min="13191" max="13191" width="15.28515625" style="1" customWidth="1"/>
    <col min="13192" max="13192" width="0.7109375" style="1" customWidth="1"/>
    <col min="13193" max="13193" width="15.28515625" style="1" customWidth="1"/>
    <col min="13194" max="13194" width="0.7109375" style="1" customWidth="1"/>
    <col min="13195" max="13195" width="15.28515625" style="1" customWidth="1"/>
    <col min="13196" max="13196" width="14.42578125" style="1" bestFit="1" customWidth="1"/>
    <col min="13197" max="13199" width="16" style="1" customWidth="1"/>
    <col min="13200" max="13200" width="14.42578125" style="1" bestFit="1" customWidth="1"/>
    <col min="13201" max="13437" width="11.42578125" style="1"/>
    <col min="13438" max="13438" width="1.7109375" style="1" customWidth="1"/>
    <col min="13439" max="13439" width="45.42578125" style="1" customWidth="1"/>
    <col min="13440" max="13440" width="1.140625" style="1" customWidth="1"/>
    <col min="13441" max="13441" width="16.5703125" style="1" customWidth="1"/>
    <col min="13442" max="13442" width="0.7109375" style="1" customWidth="1"/>
    <col min="13443" max="13443" width="16.5703125" style="1" customWidth="1"/>
    <col min="13444" max="13444" width="0.7109375" style="1" customWidth="1"/>
    <col min="13445" max="13445" width="18" style="1" customWidth="1"/>
    <col min="13446" max="13446" width="1.140625" style="1" customWidth="1"/>
    <col min="13447" max="13447" width="15.28515625" style="1" customWidth="1"/>
    <col min="13448" max="13448" width="0.7109375" style="1" customWidth="1"/>
    <col min="13449" max="13449" width="15.28515625" style="1" customWidth="1"/>
    <col min="13450" max="13450" width="0.7109375" style="1" customWidth="1"/>
    <col min="13451" max="13451" width="15.28515625" style="1" customWidth="1"/>
    <col min="13452" max="13452" width="14.42578125" style="1" bestFit="1" customWidth="1"/>
    <col min="13453" max="13455" width="16" style="1" customWidth="1"/>
    <col min="13456" max="13456" width="14.42578125" style="1" bestFit="1" customWidth="1"/>
    <col min="13457" max="13693" width="11.42578125" style="1"/>
    <col min="13694" max="13694" width="1.7109375" style="1" customWidth="1"/>
    <col min="13695" max="13695" width="45.42578125" style="1" customWidth="1"/>
    <col min="13696" max="13696" width="1.140625" style="1" customWidth="1"/>
    <col min="13697" max="13697" width="16.5703125" style="1" customWidth="1"/>
    <col min="13698" max="13698" width="0.7109375" style="1" customWidth="1"/>
    <col min="13699" max="13699" width="16.5703125" style="1" customWidth="1"/>
    <col min="13700" max="13700" width="0.7109375" style="1" customWidth="1"/>
    <col min="13701" max="13701" width="18" style="1" customWidth="1"/>
    <col min="13702" max="13702" width="1.140625" style="1" customWidth="1"/>
    <col min="13703" max="13703" width="15.28515625" style="1" customWidth="1"/>
    <col min="13704" max="13704" width="0.7109375" style="1" customWidth="1"/>
    <col min="13705" max="13705" width="15.28515625" style="1" customWidth="1"/>
    <col min="13706" max="13706" width="0.7109375" style="1" customWidth="1"/>
    <col min="13707" max="13707" width="15.28515625" style="1" customWidth="1"/>
    <col min="13708" max="13708" width="14.42578125" style="1" bestFit="1" customWidth="1"/>
    <col min="13709" max="13711" width="16" style="1" customWidth="1"/>
    <col min="13712" max="13712" width="14.42578125" style="1" bestFit="1" customWidth="1"/>
    <col min="13713" max="13949" width="11.42578125" style="1"/>
    <col min="13950" max="13950" width="1.7109375" style="1" customWidth="1"/>
    <col min="13951" max="13951" width="45.42578125" style="1" customWidth="1"/>
    <col min="13952" max="13952" width="1.140625" style="1" customWidth="1"/>
    <col min="13953" max="13953" width="16.5703125" style="1" customWidth="1"/>
    <col min="13954" max="13954" width="0.7109375" style="1" customWidth="1"/>
    <col min="13955" max="13955" width="16.5703125" style="1" customWidth="1"/>
    <col min="13956" max="13956" width="0.7109375" style="1" customWidth="1"/>
    <col min="13957" max="13957" width="18" style="1" customWidth="1"/>
    <col min="13958" max="13958" width="1.140625" style="1" customWidth="1"/>
    <col min="13959" max="13959" width="15.28515625" style="1" customWidth="1"/>
    <col min="13960" max="13960" width="0.7109375" style="1" customWidth="1"/>
    <col min="13961" max="13961" width="15.28515625" style="1" customWidth="1"/>
    <col min="13962" max="13962" width="0.7109375" style="1" customWidth="1"/>
    <col min="13963" max="13963" width="15.28515625" style="1" customWidth="1"/>
    <col min="13964" max="13964" width="14.42578125" style="1" bestFit="1" customWidth="1"/>
    <col min="13965" max="13967" width="16" style="1" customWidth="1"/>
    <col min="13968" max="13968" width="14.42578125" style="1" bestFit="1" customWidth="1"/>
    <col min="13969" max="14205" width="11.42578125" style="1"/>
    <col min="14206" max="14206" width="1.7109375" style="1" customWidth="1"/>
    <col min="14207" max="14207" width="45.42578125" style="1" customWidth="1"/>
    <col min="14208" max="14208" width="1.140625" style="1" customWidth="1"/>
    <col min="14209" max="14209" width="16.5703125" style="1" customWidth="1"/>
    <col min="14210" max="14210" width="0.7109375" style="1" customWidth="1"/>
    <col min="14211" max="14211" width="16.5703125" style="1" customWidth="1"/>
    <col min="14212" max="14212" width="0.7109375" style="1" customWidth="1"/>
    <col min="14213" max="14213" width="18" style="1" customWidth="1"/>
    <col min="14214" max="14214" width="1.140625" style="1" customWidth="1"/>
    <col min="14215" max="14215" width="15.28515625" style="1" customWidth="1"/>
    <col min="14216" max="14216" width="0.7109375" style="1" customWidth="1"/>
    <col min="14217" max="14217" width="15.28515625" style="1" customWidth="1"/>
    <col min="14218" max="14218" width="0.7109375" style="1" customWidth="1"/>
    <col min="14219" max="14219" width="15.28515625" style="1" customWidth="1"/>
    <col min="14220" max="14220" width="14.42578125" style="1" bestFit="1" customWidth="1"/>
    <col min="14221" max="14223" width="16" style="1" customWidth="1"/>
    <col min="14224" max="14224" width="14.42578125" style="1" bestFit="1" customWidth="1"/>
    <col min="14225" max="14461" width="11.42578125" style="1"/>
    <col min="14462" max="14462" width="1.7109375" style="1" customWidth="1"/>
    <col min="14463" max="14463" width="45.42578125" style="1" customWidth="1"/>
    <col min="14464" max="14464" width="1.140625" style="1" customWidth="1"/>
    <col min="14465" max="14465" width="16.5703125" style="1" customWidth="1"/>
    <col min="14466" max="14466" width="0.7109375" style="1" customWidth="1"/>
    <col min="14467" max="14467" width="16.5703125" style="1" customWidth="1"/>
    <col min="14468" max="14468" width="0.7109375" style="1" customWidth="1"/>
    <col min="14469" max="14469" width="18" style="1" customWidth="1"/>
    <col min="14470" max="14470" width="1.140625" style="1" customWidth="1"/>
    <col min="14471" max="14471" width="15.28515625" style="1" customWidth="1"/>
    <col min="14472" max="14472" width="0.7109375" style="1" customWidth="1"/>
    <col min="14473" max="14473" width="15.28515625" style="1" customWidth="1"/>
    <col min="14474" max="14474" width="0.7109375" style="1" customWidth="1"/>
    <col min="14475" max="14475" width="15.28515625" style="1" customWidth="1"/>
    <col min="14476" max="14476" width="14.42578125" style="1" bestFit="1" customWidth="1"/>
    <col min="14477" max="14479" width="16" style="1" customWidth="1"/>
    <col min="14480" max="14480" width="14.42578125" style="1" bestFit="1" customWidth="1"/>
    <col min="14481" max="14717" width="11.42578125" style="1"/>
    <col min="14718" max="14718" width="1.7109375" style="1" customWidth="1"/>
    <col min="14719" max="14719" width="45.42578125" style="1" customWidth="1"/>
    <col min="14720" max="14720" width="1.140625" style="1" customWidth="1"/>
    <col min="14721" max="14721" width="16.5703125" style="1" customWidth="1"/>
    <col min="14722" max="14722" width="0.7109375" style="1" customWidth="1"/>
    <col min="14723" max="14723" width="16.5703125" style="1" customWidth="1"/>
    <col min="14724" max="14724" width="0.7109375" style="1" customWidth="1"/>
    <col min="14725" max="14725" width="18" style="1" customWidth="1"/>
    <col min="14726" max="14726" width="1.140625" style="1" customWidth="1"/>
    <col min="14727" max="14727" width="15.28515625" style="1" customWidth="1"/>
    <col min="14728" max="14728" width="0.7109375" style="1" customWidth="1"/>
    <col min="14729" max="14729" width="15.28515625" style="1" customWidth="1"/>
    <col min="14730" max="14730" width="0.7109375" style="1" customWidth="1"/>
    <col min="14731" max="14731" width="15.28515625" style="1" customWidth="1"/>
    <col min="14732" max="14732" width="14.42578125" style="1" bestFit="1" customWidth="1"/>
    <col min="14733" max="14735" width="16" style="1" customWidth="1"/>
    <col min="14736" max="14736" width="14.42578125" style="1" bestFit="1" customWidth="1"/>
    <col min="14737" max="14973" width="11.42578125" style="1"/>
    <col min="14974" max="14974" width="1.7109375" style="1" customWidth="1"/>
    <col min="14975" max="14975" width="45.42578125" style="1" customWidth="1"/>
    <col min="14976" max="14976" width="1.140625" style="1" customWidth="1"/>
    <col min="14977" max="14977" width="16.5703125" style="1" customWidth="1"/>
    <col min="14978" max="14978" width="0.7109375" style="1" customWidth="1"/>
    <col min="14979" max="14979" width="16.5703125" style="1" customWidth="1"/>
    <col min="14980" max="14980" width="0.7109375" style="1" customWidth="1"/>
    <col min="14981" max="14981" width="18" style="1" customWidth="1"/>
    <col min="14982" max="14982" width="1.140625" style="1" customWidth="1"/>
    <col min="14983" max="14983" width="15.28515625" style="1" customWidth="1"/>
    <col min="14984" max="14984" width="0.7109375" style="1" customWidth="1"/>
    <col min="14985" max="14985" width="15.28515625" style="1" customWidth="1"/>
    <col min="14986" max="14986" width="0.7109375" style="1" customWidth="1"/>
    <col min="14987" max="14987" width="15.28515625" style="1" customWidth="1"/>
    <col min="14988" max="14988" width="14.42578125" style="1" bestFit="1" customWidth="1"/>
    <col min="14989" max="14991" width="16" style="1" customWidth="1"/>
    <col min="14992" max="14992" width="14.42578125" style="1" bestFit="1" customWidth="1"/>
    <col min="14993" max="15229" width="11.42578125" style="1"/>
    <col min="15230" max="15230" width="1.7109375" style="1" customWidth="1"/>
    <col min="15231" max="15231" width="45.42578125" style="1" customWidth="1"/>
    <col min="15232" max="15232" width="1.140625" style="1" customWidth="1"/>
    <col min="15233" max="15233" width="16.5703125" style="1" customWidth="1"/>
    <col min="15234" max="15234" width="0.7109375" style="1" customWidth="1"/>
    <col min="15235" max="15235" width="16.5703125" style="1" customWidth="1"/>
    <col min="15236" max="15236" width="0.7109375" style="1" customWidth="1"/>
    <col min="15237" max="15237" width="18" style="1" customWidth="1"/>
    <col min="15238" max="15238" width="1.140625" style="1" customWidth="1"/>
    <col min="15239" max="15239" width="15.28515625" style="1" customWidth="1"/>
    <col min="15240" max="15240" width="0.7109375" style="1" customWidth="1"/>
    <col min="15241" max="15241" width="15.28515625" style="1" customWidth="1"/>
    <col min="15242" max="15242" width="0.7109375" style="1" customWidth="1"/>
    <col min="15243" max="15243" width="15.28515625" style="1" customWidth="1"/>
    <col min="15244" max="15244" width="14.42578125" style="1" bestFit="1" customWidth="1"/>
    <col min="15245" max="15247" width="16" style="1" customWidth="1"/>
    <col min="15248" max="15248" width="14.42578125" style="1" bestFit="1" customWidth="1"/>
    <col min="15249" max="15485" width="11.42578125" style="1"/>
    <col min="15486" max="15486" width="1.7109375" style="1" customWidth="1"/>
    <col min="15487" max="15487" width="45.42578125" style="1" customWidth="1"/>
    <col min="15488" max="15488" width="1.140625" style="1" customWidth="1"/>
    <col min="15489" max="15489" width="16.5703125" style="1" customWidth="1"/>
    <col min="15490" max="15490" width="0.7109375" style="1" customWidth="1"/>
    <col min="15491" max="15491" width="16.5703125" style="1" customWidth="1"/>
    <col min="15492" max="15492" width="0.7109375" style="1" customWidth="1"/>
    <col min="15493" max="15493" width="18" style="1" customWidth="1"/>
    <col min="15494" max="15494" width="1.140625" style="1" customWidth="1"/>
    <col min="15495" max="15495" width="15.28515625" style="1" customWidth="1"/>
    <col min="15496" max="15496" width="0.7109375" style="1" customWidth="1"/>
    <col min="15497" max="15497" width="15.28515625" style="1" customWidth="1"/>
    <col min="15498" max="15498" width="0.7109375" style="1" customWidth="1"/>
    <col min="15499" max="15499" width="15.28515625" style="1" customWidth="1"/>
    <col min="15500" max="15500" width="14.42578125" style="1" bestFit="1" customWidth="1"/>
    <col min="15501" max="15503" width="16" style="1" customWidth="1"/>
    <col min="15504" max="15504" width="14.42578125" style="1" bestFit="1" customWidth="1"/>
    <col min="15505" max="15741" width="11.42578125" style="1"/>
    <col min="15742" max="15742" width="1.7109375" style="1" customWidth="1"/>
    <col min="15743" max="15743" width="45.42578125" style="1" customWidth="1"/>
    <col min="15744" max="15744" width="1.140625" style="1" customWidth="1"/>
    <col min="15745" max="15745" width="16.5703125" style="1" customWidth="1"/>
    <col min="15746" max="15746" width="0.7109375" style="1" customWidth="1"/>
    <col min="15747" max="15747" width="16.5703125" style="1" customWidth="1"/>
    <col min="15748" max="15748" width="0.7109375" style="1" customWidth="1"/>
    <col min="15749" max="15749" width="18" style="1" customWidth="1"/>
    <col min="15750" max="15750" width="1.140625" style="1" customWidth="1"/>
    <col min="15751" max="15751" width="15.28515625" style="1" customWidth="1"/>
    <col min="15752" max="15752" width="0.7109375" style="1" customWidth="1"/>
    <col min="15753" max="15753" width="15.28515625" style="1" customWidth="1"/>
    <col min="15754" max="15754" width="0.7109375" style="1" customWidth="1"/>
    <col min="15755" max="15755" width="15.28515625" style="1" customWidth="1"/>
    <col min="15756" max="15756" width="14.42578125" style="1" bestFit="1" customWidth="1"/>
    <col min="15757" max="15759" width="16" style="1" customWidth="1"/>
    <col min="15760" max="15760" width="14.42578125" style="1" bestFit="1" customWidth="1"/>
    <col min="15761" max="15997" width="11.42578125" style="1"/>
    <col min="15998" max="15998" width="1.7109375" style="1" customWidth="1"/>
    <col min="15999" max="15999" width="45.42578125" style="1" customWidth="1"/>
    <col min="16000" max="16000" width="1.140625" style="1" customWidth="1"/>
    <col min="16001" max="16001" width="16.5703125" style="1" customWidth="1"/>
    <col min="16002" max="16002" width="0.7109375" style="1" customWidth="1"/>
    <col min="16003" max="16003" width="16.5703125" style="1" customWidth="1"/>
    <col min="16004" max="16004" width="0.7109375" style="1" customWidth="1"/>
    <col min="16005" max="16005" width="18" style="1" customWidth="1"/>
    <col min="16006" max="16006" width="1.140625" style="1" customWidth="1"/>
    <col min="16007" max="16007" width="15.28515625" style="1" customWidth="1"/>
    <col min="16008" max="16008" width="0.7109375" style="1" customWidth="1"/>
    <col min="16009" max="16009" width="15.28515625" style="1" customWidth="1"/>
    <col min="16010" max="16010" width="0.7109375" style="1" customWidth="1"/>
    <col min="16011" max="16011" width="15.28515625" style="1" customWidth="1"/>
    <col min="16012" max="16012" width="14.42578125" style="1" bestFit="1" customWidth="1"/>
    <col min="16013" max="16015" width="16" style="1" customWidth="1"/>
    <col min="16016" max="16016" width="14.42578125" style="1" bestFit="1" customWidth="1"/>
    <col min="16017" max="16384" width="11.42578125" style="1"/>
  </cols>
  <sheetData>
    <row r="1" spans="1:22" ht="7.5" customHeight="1" x14ac:dyDescent="0.2">
      <c r="A1" s="1" t="s">
        <v>0</v>
      </c>
    </row>
    <row r="2" spans="1:22" ht="18" x14ac:dyDescent="0.25">
      <c r="B2" s="91" t="s">
        <v>1</v>
      </c>
      <c r="C2" s="91"/>
      <c r="D2" s="91"/>
      <c r="E2" s="91"/>
      <c r="F2" s="91"/>
      <c r="G2" s="91"/>
      <c r="H2" s="91"/>
      <c r="I2" s="91"/>
      <c r="J2" s="91"/>
      <c r="K2" s="91"/>
      <c r="L2" s="91"/>
      <c r="M2" s="91"/>
      <c r="N2" s="91"/>
    </row>
    <row r="4" spans="1:22" s="2" customFormat="1" ht="20.25" x14ac:dyDescent="0.3">
      <c r="B4" s="92" t="s">
        <v>2</v>
      </c>
      <c r="C4" s="93"/>
      <c r="D4" s="93"/>
      <c r="E4" s="93"/>
      <c r="F4" s="93"/>
      <c r="G4" s="93"/>
      <c r="H4" s="94"/>
      <c r="O4" s="1"/>
      <c r="P4" s="1"/>
      <c r="Q4" s="1"/>
      <c r="R4" s="1"/>
      <c r="S4" s="1"/>
      <c r="T4" s="1"/>
      <c r="U4" s="1"/>
      <c r="V4" s="1"/>
    </row>
    <row r="5" spans="1:22" s="2" customFormat="1" ht="20.25" customHeight="1" x14ac:dyDescent="0.3">
      <c r="B5" s="3" t="s">
        <v>35</v>
      </c>
      <c r="N5" s="1"/>
      <c r="O5" s="1"/>
      <c r="P5" s="1"/>
      <c r="Q5" s="1"/>
      <c r="R5" s="1"/>
      <c r="S5" s="1"/>
      <c r="T5" s="1"/>
      <c r="U5" s="1"/>
      <c r="V5" s="1"/>
    </row>
    <row r="6" spans="1:22" ht="15" customHeight="1" x14ac:dyDescent="0.2">
      <c r="B6" s="4"/>
    </row>
    <row r="7" spans="1:22" ht="12.75" customHeight="1" x14ac:dyDescent="0.2">
      <c r="B7" s="5"/>
      <c r="C7" s="5"/>
      <c r="D7" s="95" t="s">
        <v>4</v>
      </c>
      <c r="E7" s="95"/>
      <c r="F7" s="96" t="s">
        <v>5</v>
      </c>
      <c r="G7" s="96"/>
      <c r="H7" s="97" t="str">
        <f>+B5&amp;" (Mes)"</f>
        <v>Enero (Mes)</v>
      </c>
      <c r="I7" s="97"/>
      <c r="J7" s="98">
        <v>4366.57</v>
      </c>
      <c r="K7" s="99"/>
      <c r="N7" s="39"/>
    </row>
    <row r="8" spans="1:22" ht="12.75" customHeight="1" x14ac:dyDescent="0.2">
      <c r="B8" s="5"/>
      <c r="C8" s="5"/>
      <c r="D8" s="95"/>
      <c r="E8" s="95"/>
      <c r="F8" s="96"/>
      <c r="G8" s="96"/>
      <c r="H8" s="97" t="s">
        <v>114</v>
      </c>
      <c r="I8" s="97"/>
      <c r="J8" s="98">
        <v>4412.5</v>
      </c>
      <c r="K8" s="99"/>
      <c r="N8" s="40"/>
    </row>
    <row r="9" spans="1:22" ht="12.75" customHeight="1" x14ac:dyDescent="0.2">
      <c r="B9" s="5"/>
      <c r="C9" s="5"/>
      <c r="D9" s="95"/>
      <c r="E9" s="95"/>
      <c r="F9" s="96"/>
      <c r="G9" s="96"/>
      <c r="H9" s="97" t="s">
        <v>7</v>
      </c>
      <c r="I9" s="97"/>
      <c r="J9" s="100">
        <v>4412.5</v>
      </c>
      <c r="K9" s="100"/>
      <c r="N9" s="40"/>
    </row>
    <row r="10" spans="1:22" ht="12.75" customHeight="1" x14ac:dyDescent="0.2">
      <c r="B10" s="5"/>
      <c r="C10" s="5"/>
      <c r="D10" s="95"/>
      <c r="E10" s="95"/>
      <c r="F10" s="96" t="s">
        <v>8</v>
      </c>
      <c r="G10" s="96"/>
      <c r="H10" s="106" t="str">
        <f>+B5</f>
        <v>Enero</v>
      </c>
      <c r="I10" s="106"/>
      <c r="J10" s="100">
        <f>+AVERAGE(J7:K8)</f>
        <v>4389.5349999999999</v>
      </c>
      <c r="K10" s="96"/>
    </row>
    <row r="11" spans="1:22" x14ac:dyDescent="0.2">
      <c r="B11" s="4"/>
    </row>
    <row r="12" spans="1:22" s="6" customFormat="1" ht="12.75" customHeight="1" x14ac:dyDescent="0.2">
      <c r="B12" s="101" t="s">
        <v>9</v>
      </c>
      <c r="D12" s="103" t="s">
        <v>10</v>
      </c>
      <c r="E12" s="104"/>
      <c r="F12" s="104"/>
      <c r="G12" s="104"/>
      <c r="H12" s="105"/>
      <c r="I12" s="7"/>
      <c r="J12" s="103" t="s">
        <v>11</v>
      </c>
      <c r="K12" s="104"/>
      <c r="L12" s="104"/>
      <c r="M12" s="104"/>
      <c r="N12" s="105"/>
      <c r="O12" s="1"/>
      <c r="P12" s="1"/>
      <c r="Q12" s="1"/>
      <c r="R12" s="1"/>
      <c r="S12" s="1"/>
      <c r="T12" s="1"/>
      <c r="U12" s="1"/>
      <c r="V12" s="1"/>
    </row>
    <row r="13" spans="1:22" s="6" customFormat="1" ht="12.75" customHeight="1" x14ac:dyDescent="0.2">
      <c r="B13" s="102"/>
      <c r="D13" s="8" t="s">
        <v>12</v>
      </c>
      <c r="F13" s="8" t="s">
        <v>13</v>
      </c>
      <c r="H13" s="8" t="s">
        <v>14</v>
      </c>
      <c r="J13" s="8" t="s">
        <v>12</v>
      </c>
      <c r="L13" s="8" t="s">
        <v>13</v>
      </c>
      <c r="N13" s="8" t="s">
        <v>14</v>
      </c>
      <c r="O13" s="1"/>
      <c r="P13" s="1"/>
      <c r="Q13" s="1"/>
      <c r="R13" s="1"/>
      <c r="S13" s="1"/>
      <c r="T13" s="1"/>
      <c r="U13" s="1"/>
      <c r="V13" s="1"/>
    </row>
    <row r="14" spans="1:22" ht="14.25" customHeight="1" x14ac:dyDescent="0.2">
      <c r="B14" s="9" t="s">
        <v>15</v>
      </c>
      <c r="D14" s="123">
        <v>1628964.54</v>
      </c>
      <c r="E14" s="124"/>
      <c r="F14" s="123">
        <v>16159180.300000001</v>
      </c>
      <c r="G14" s="123"/>
      <c r="H14" s="123">
        <v>17788144.850000001</v>
      </c>
      <c r="I14" s="19"/>
      <c r="J14" s="74">
        <f>+D14/$J$8</f>
        <v>369.1704339943343</v>
      </c>
      <c r="K14" s="19"/>
      <c r="L14" s="74">
        <f>+F14/$J$8</f>
        <v>3662.1371784702551</v>
      </c>
      <c r="M14" s="19"/>
      <c r="N14" s="75">
        <f>+J14+L14</f>
        <v>4031.3076124645895</v>
      </c>
    </row>
    <row r="15" spans="1:22" ht="14.25" customHeight="1" x14ac:dyDescent="0.2">
      <c r="B15" s="11" t="s">
        <v>16</v>
      </c>
      <c r="D15" s="115">
        <v>-457096.1</v>
      </c>
      <c r="E15" s="116"/>
      <c r="F15" s="72">
        <v>-4754130.9670000002</v>
      </c>
      <c r="G15" s="117"/>
      <c r="H15" s="72">
        <f>+D15+F15</f>
        <v>-5211227.0669999998</v>
      </c>
      <c r="I15" s="10"/>
      <c r="J15" s="24">
        <f>+D15/$J$10</f>
        <v>-104.13314849978414</v>
      </c>
      <c r="K15" s="32"/>
      <c r="L15" s="24">
        <f>+F15/$J$10</f>
        <v>-1083.0602710765493</v>
      </c>
      <c r="M15" s="32"/>
      <c r="N15" s="24">
        <f>+J15+L15</f>
        <v>-1187.1934195763333</v>
      </c>
    </row>
    <row r="16" spans="1:22" ht="14.25" customHeight="1" x14ac:dyDescent="0.2">
      <c r="B16" s="11" t="s">
        <v>17</v>
      </c>
      <c r="D16" s="37"/>
      <c r="E16" s="36"/>
      <c r="F16" s="72">
        <v>5785949.7300000004</v>
      </c>
      <c r="G16" s="118"/>
      <c r="H16" s="115">
        <f>F16</f>
        <v>5785949.7300000004</v>
      </c>
      <c r="I16" s="10"/>
      <c r="J16" s="24">
        <f>+D16/$J$10</f>
        <v>0</v>
      </c>
      <c r="K16" s="32"/>
      <c r="L16" s="24">
        <f>+F16/$J$10</f>
        <v>1318.1236121821562</v>
      </c>
      <c r="M16" s="32"/>
      <c r="N16" s="24">
        <f>+J16+L16</f>
        <v>1318.1236121821562</v>
      </c>
    </row>
    <row r="17" spans="2:14" ht="14.25" customHeight="1" x14ac:dyDescent="0.2">
      <c r="B17" s="11" t="s">
        <v>18</v>
      </c>
      <c r="D17" s="72">
        <v>680148.30257699999</v>
      </c>
      <c r="E17" s="73"/>
      <c r="F17" s="72">
        <f>-D17</f>
        <v>-680148.30257699999</v>
      </c>
      <c r="G17" s="119"/>
      <c r="H17" s="120"/>
      <c r="I17" s="10"/>
      <c r="J17" s="24">
        <f>+D17/$J$7</f>
        <v>155.76260144163498</v>
      </c>
      <c r="K17" s="32"/>
      <c r="L17" s="24">
        <f>+F17/$J$7</f>
        <v>-155.76260144163498</v>
      </c>
      <c r="M17" s="32"/>
      <c r="N17" s="24">
        <f t="shared" ref="N17:N20" si="0">+J17+L17</f>
        <v>0</v>
      </c>
    </row>
    <row r="18" spans="2:14" ht="14.25" customHeight="1" x14ac:dyDescent="0.2">
      <c r="B18" s="11" t="s">
        <v>19</v>
      </c>
      <c r="D18" s="37"/>
      <c r="E18" s="36"/>
      <c r="F18" s="37"/>
      <c r="G18" s="119"/>
      <c r="H18" s="120">
        <f>SUM(D18:F18)</f>
        <v>0</v>
      </c>
      <c r="I18" s="10"/>
      <c r="J18" s="24">
        <f>+D18/$J$10</f>
        <v>0</v>
      </c>
      <c r="K18" s="32"/>
      <c r="L18" s="24">
        <f>+F18/$J$10</f>
        <v>0</v>
      </c>
      <c r="M18" s="32"/>
      <c r="N18" s="24">
        <f t="shared" si="0"/>
        <v>0</v>
      </c>
    </row>
    <row r="19" spans="2:14" ht="14.25" customHeight="1" x14ac:dyDescent="0.2">
      <c r="B19" s="14" t="s">
        <v>20</v>
      </c>
      <c r="D19" s="121"/>
      <c r="E19" s="119"/>
      <c r="F19" s="121"/>
      <c r="G19" s="119"/>
      <c r="H19" s="120">
        <f>SUM(D19:F19)</f>
        <v>0</v>
      </c>
      <c r="I19" s="10"/>
      <c r="J19" s="24">
        <f>+D19/$J$10</f>
        <v>0</v>
      </c>
      <c r="K19" s="33"/>
      <c r="L19" s="24">
        <f>+F19/$J$10</f>
        <v>0</v>
      </c>
      <c r="M19" s="33"/>
      <c r="N19" s="24">
        <f t="shared" si="0"/>
        <v>0</v>
      </c>
    </row>
    <row r="20" spans="2:14" ht="14.25" customHeight="1" x14ac:dyDescent="0.2">
      <c r="B20" s="14" t="s">
        <v>21</v>
      </c>
      <c r="D20" s="16"/>
      <c r="E20" s="10"/>
      <c r="F20" s="16"/>
      <c r="G20" s="10"/>
      <c r="H20" s="16">
        <f>+D20+F20</f>
        <v>0</v>
      </c>
      <c r="I20" s="10"/>
      <c r="J20" s="24">
        <f>+J22-SUM(J14:J19)</f>
        <v>3.3354739024136961</v>
      </c>
      <c r="K20" s="33"/>
      <c r="L20" s="24">
        <f>+L22-SUM(L14:L19)</f>
        <v>39.756648865271927</v>
      </c>
      <c r="M20" s="33"/>
      <c r="N20" s="24">
        <f t="shared" si="0"/>
        <v>43.092122767685623</v>
      </c>
    </row>
    <row r="21" spans="2:14" ht="14.25" customHeight="1" x14ac:dyDescent="0.2">
      <c r="B21" s="11" t="s">
        <v>22</v>
      </c>
      <c r="D21" s="12">
        <f>SUM(D19:D20)</f>
        <v>0</v>
      </c>
      <c r="E21" s="10"/>
      <c r="F21" s="12">
        <f>SUM(F19:F20)</f>
        <v>0</v>
      </c>
      <c r="G21" s="10"/>
      <c r="H21" s="12">
        <f>SUM(H19:H20)</f>
        <v>0</v>
      </c>
      <c r="I21" s="10"/>
      <c r="J21" s="24">
        <f>SUM(J19:J20)</f>
        <v>3.3354739024136961</v>
      </c>
      <c r="K21" s="32"/>
      <c r="L21" s="24">
        <f>SUM(L19:L20)</f>
        <v>39.756648865271927</v>
      </c>
      <c r="M21" s="32"/>
      <c r="N21" s="24">
        <f>SUM(N19:N20)</f>
        <v>43.092122767685623</v>
      </c>
    </row>
    <row r="22" spans="2:14" ht="14.25" customHeight="1" x14ac:dyDescent="0.2">
      <c r="B22" s="17" t="s">
        <v>23</v>
      </c>
      <c r="D22" s="18">
        <f>SUM(D14:D17)</f>
        <v>1852016.7425770001</v>
      </c>
      <c r="E22" s="19"/>
      <c r="F22" s="18">
        <f>SUM(F14:F18)</f>
        <v>16510850.760423001</v>
      </c>
      <c r="G22" s="61"/>
      <c r="H22" s="18">
        <f>SUM(H14:H18,H21)</f>
        <v>18362867.513000004</v>
      </c>
      <c r="I22" s="10"/>
      <c r="J22" s="34">
        <f>+D22/$J$7</f>
        <v>424.13536083859879</v>
      </c>
      <c r="K22" s="32"/>
      <c r="L22" s="34">
        <f>+F22/$J$7</f>
        <v>3781.1945669994989</v>
      </c>
      <c r="M22" s="32"/>
      <c r="N22" s="18">
        <f>SUM(N14:N18,N21)</f>
        <v>4205.3299278380973</v>
      </c>
    </row>
    <row r="23" spans="2:14" ht="14.25" customHeight="1" x14ac:dyDescent="0.2">
      <c r="B23" s="11" t="s">
        <v>24</v>
      </c>
      <c r="D23" s="21">
        <v>-251991.8200000003</v>
      </c>
      <c r="E23" s="119"/>
      <c r="F23" s="121">
        <v>0</v>
      </c>
      <c r="G23" s="119"/>
      <c r="H23" s="21">
        <v>-251991.82000000041</v>
      </c>
      <c r="I23" s="10"/>
      <c r="J23" s="24">
        <f>+D23/$J$8</f>
        <v>-57.108627762039731</v>
      </c>
      <c r="K23" s="32"/>
      <c r="L23" s="24">
        <f>+F23/$J$8</f>
        <v>0</v>
      </c>
      <c r="M23" s="32"/>
      <c r="N23" s="41">
        <f>+J23+L23</f>
        <v>-57.108627762039731</v>
      </c>
    </row>
    <row r="24" spans="2:14" ht="14.25" customHeight="1" x14ac:dyDescent="0.2">
      <c r="B24" s="11" t="s">
        <v>25</v>
      </c>
      <c r="D24" s="23"/>
      <c r="E24" s="119"/>
      <c r="F24" s="121"/>
      <c r="G24" s="119"/>
      <c r="H24" s="21">
        <f>D24</f>
        <v>0</v>
      </c>
      <c r="I24" s="10"/>
      <c r="J24" s="24">
        <f>+D24/$J$10</f>
        <v>0</v>
      </c>
      <c r="K24" s="32"/>
      <c r="L24" s="24">
        <f>+F24/$J$10</f>
        <v>0</v>
      </c>
      <c r="M24" s="32"/>
      <c r="N24" s="24">
        <f>+J24+L24</f>
        <v>0</v>
      </c>
    </row>
    <row r="25" spans="2:14" ht="14.25" customHeight="1" x14ac:dyDescent="0.2">
      <c r="B25" s="11" t="s">
        <v>26</v>
      </c>
      <c r="D25" s="122">
        <v>46844.008000000293</v>
      </c>
      <c r="E25" s="119"/>
      <c r="F25" s="121"/>
      <c r="G25" s="119"/>
      <c r="H25" s="21">
        <f>+D25+F25</f>
        <v>46844.008000000293</v>
      </c>
      <c r="I25" s="10"/>
      <c r="J25" s="24">
        <f>+D25/$J$10</f>
        <v>10.67174723518557</v>
      </c>
      <c r="K25" s="32"/>
      <c r="L25" s="24">
        <f>+F25/$J$10</f>
        <v>0</v>
      </c>
      <c r="M25" s="32"/>
      <c r="N25" s="24">
        <f>+J25+L25</f>
        <v>10.67174723518557</v>
      </c>
    </row>
    <row r="26" spans="2:14" ht="14.25" customHeight="1" x14ac:dyDescent="0.2">
      <c r="B26" s="14" t="s">
        <v>20</v>
      </c>
      <c r="D26" s="121"/>
      <c r="E26" s="119"/>
      <c r="F26" s="121"/>
      <c r="G26" s="119"/>
      <c r="H26" s="120">
        <f>+D26+F26</f>
        <v>0</v>
      </c>
      <c r="I26" s="15"/>
      <c r="J26" s="24">
        <f>+D26/$J$10</f>
        <v>0</v>
      </c>
      <c r="K26" s="33"/>
      <c r="L26" s="24">
        <f>+F26/$J$10</f>
        <v>0</v>
      </c>
      <c r="M26" s="33"/>
      <c r="N26" s="24">
        <f>+J26+L26</f>
        <v>0</v>
      </c>
    </row>
    <row r="27" spans="2:14" ht="14.25" customHeight="1" x14ac:dyDescent="0.2">
      <c r="B27" s="14" t="s">
        <v>21</v>
      </c>
      <c r="D27" s="16"/>
      <c r="E27" s="10"/>
      <c r="F27" s="16"/>
      <c r="G27" s="10"/>
      <c r="H27" s="25">
        <f>+D27+F27</f>
        <v>0</v>
      </c>
      <c r="I27" s="15"/>
      <c r="J27" s="24">
        <f>+J29-SUM(J23:J26)</f>
        <v>-0.54457448245521078</v>
      </c>
      <c r="K27" s="33"/>
      <c r="L27" s="24">
        <f>+L29-SUM(L23:L26)</f>
        <v>0</v>
      </c>
      <c r="M27" s="33"/>
      <c r="N27" s="24">
        <f>+J27+L27</f>
        <v>-0.54457448245521078</v>
      </c>
    </row>
    <row r="28" spans="2:14" ht="14.25" customHeight="1" x14ac:dyDescent="0.2">
      <c r="B28" s="11" t="s">
        <v>22</v>
      </c>
      <c r="D28" s="12">
        <f>SUM(D26:D27)</f>
        <v>0</v>
      </c>
      <c r="E28" s="10"/>
      <c r="F28" s="12">
        <f>SUM(F26:F27)</f>
        <v>0</v>
      </c>
      <c r="G28" s="10"/>
      <c r="H28" s="12">
        <f>SUM(H26:H27)</f>
        <v>0</v>
      </c>
      <c r="I28" s="10"/>
      <c r="J28" s="24">
        <f>SUM(J26:J27)</f>
        <v>-0.54457448245521078</v>
      </c>
      <c r="K28" s="32"/>
      <c r="L28" s="24">
        <f>SUM(L26:L27)</f>
        <v>0</v>
      </c>
      <c r="M28" s="32"/>
      <c r="N28" s="24">
        <f>SUM(N26:N27)</f>
        <v>-0.54457448245521078</v>
      </c>
    </row>
    <row r="29" spans="2:14" ht="14.25" customHeight="1" x14ac:dyDescent="0.2">
      <c r="B29" s="26" t="s">
        <v>27</v>
      </c>
      <c r="D29" s="18">
        <f>SUM(D23:D25,D28)</f>
        <v>-205147.81200000001</v>
      </c>
      <c r="E29" s="19"/>
      <c r="F29" s="18">
        <f>SUM(F23:F25,F28)</f>
        <v>0</v>
      </c>
      <c r="G29" s="19"/>
      <c r="H29" s="18">
        <f>SUM(H23:H25,H28)</f>
        <v>-205147.81200000012</v>
      </c>
      <c r="I29" s="10"/>
      <c r="J29" s="35">
        <f>+D29/$J$7</f>
        <v>-46.981455009309371</v>
      </c>
      <c r="K29" s="32"/>
      <c r="L29" s="34">
        <f>+F29/$J$7</f>
        <v>0</v>
      </c>
      <c r="M29" s="32"/>
      <c r="N29" s="35">
        <f>SUM(N23:N25,N28)</f>
        <v>-46.981455009309371</v>
      </c>
    </row>
    <row r="30" spans="2:14" ht="17.25" customHeight="1" x14ac:dyDescent="0.2">
      <c r="B30" s="27" t="s">
        <v>28</v>
      </c>
      <c r="D30" s="81">
        <f>+D22+D29</f>
        <v>1646868.9305770001</v>
      </c>
      <c r="E30" s="19"/>
      <c r="F30" s="81">
        <f>+F22+F29</f>
        <v>16510850.760423001</v>
      </c>
      <c r="G30" s="19"/>
      <c r="H30" s="81">
        <f>+H22+H29</f>
        <v>18157719.701000005</v>
      </c>
      <c r="I30" s="10"/>
      <c r="J30" s="28">
        <f>+J22+J29</f>
        <v>377.15390582928944</v>
      </c>
      <c r="K30" s="10"/>
      <c r="L30" s="28">
        <f>+L22+L29</f>
        <v>3781.1945669994989</v>
      </c>
      <c r="M30" s="10"/>
      <c r="N30" s="42">
        <f>+N22+N29</f>
        <v>4158.3484728287876</v>
      </c>
    </row>
    <row r="31" spans="2:14" ht="13.5" customHeight="1" x14ac:dyDescent="0.2">
      <c r="B31" s="29"/>
      <c r="D31" s="30"/>
      <c r="F31" s="30"/>
      <c r="H31" s="44"/>
    </row>
    <row r="32" spans="2:14" ht="13.5" customHeight="1" x14ac:dyDescent="0.2">
      <c r="H32" s="45"/>
    </row>
    <row r="33" spans="2:22" s="6" customFormat="1" ht="12.75" customHeight="1" x14ac:dyDescent="0.2">
      <c r="B33" s="101" t="s">
        <v>29</v>
      </c>
      <c r="D33" s="103" t="s">
        <v>10</v>
      </c>
      <c r="E33" s="104"/>
      <c r="F33" s="104"/>
      <c r="G33" s="104"/>
      <c r="H33" s="105"/>
      <c r="I33" s="7"/>
      <c r="J33" s="103" t="s">
        <v>11</v>
      </c>
      <c r="K33" s="104"/>
      <c r="L33" s="104"/>
      <c r="M33" s="104"/>
      <c r="N33" s="105"/>
      <c r="O33" s="1"/>
      <c r="P33" s="1"/>
      <c r="Q33" s="1"/>
      <c r="R33" s="1"/>
      <c r="S33" s="1"/>
      <c r="T33" s="1"/>
      <c r="U33" s="1"/>
      <c r="V33" s="1"/>
    </row>
    <row r="34" spans="2:22" s="6" customFormat="1" ht="12.75" customHeight="1" x14ac:dyDescent="0.2">
      <c r="B34" s="102"/>
      <c r="D34" s="8" t="s">
        <v>12</v>
      </c>
      <c r="F34" s="8" t="s">
        <v>13</v>
      </c>
      <c r="H34" s="8" t="s">
        <v>14</v>
      </c>
      <c r="J34" s="8" t="s">
        <v>12</v>
      </c>
      <c r="L34" s="8" t="s">
        <v>13</v>
      </c>
      <c r="N34" s="8" t="s">
        <v>14</v>
      </c>
      <c r="O34" s="1"/>
      <c r="P34" s="1"/>
      <c r="Q34" s="1"/>
      <c r="R34" s="1"/>
      <c r="S34" s="1"/>
      <c r="T34" s="1"/>
      <c r="U34" s="1"/>
      <c r="V34" s="1"/>
    </row>
    <row r="35" spans="2:22" ht="14.25" customHeight="1" x14ac:dyDescent="0.2">
      <c r="B35" s="48" t="s">
        <v>30</v>
      </c>
      <c r="D35" s="47">
        <v>1628964.5416799001</v>
      </c>
      <c r="E35" s="47"/>
      <c r="F35" s="47">
        <v>16159180.314169524</v>
      </c>
      <c r="G35" s="19"/>
      <c r="H35" s="47">
        <v>17788144.85584943</v>
      </c>
      <c r="I35" s="10"/>
      <c r="J35" s="49">
        <f>+D35/$J$9</f>
        <v>369.17043437504822</v>
      </c>
      <c r="K35" s="10"/>
      <c r="L35" s="49">
        <f>+F35/$J$9</f>
        <v>3662.1371816814785</v>
      </c>
      <c r="M35" s="10"/>
      <c r="N35" s="43">
        <f>+J35+L35</f>
        <v>4031.307616056527</v>
      </c>
    </row>
    <row r="36" spans="2:22" ht="14.25" customHeight="1" x14ac:dyDescent="0.2">
      <c r="B36" s="11" t="s">
        <v>31</v>
      </c>
      <c r="D36" s="23">
        <v>-457096.1</v>
      </c>
      <c r="E36" s="77">
        <v>0</v>
      </c>
      <c r="F36" s="78">
        <v>-4754130.9670000002</v>
      </c>
      <c r="G36" s="77"/>
      <c r="H36" s="78">
        <f>+D36+F36</f>
        <v>-5211227.0669999998</v>
      </c>
      <c r="I36" s="10"/>
      <c r="J36" s="12">
        <f>+D36/$J$7</f>
        <v>-104.68081354472733</v>
      </c>
      <c r="K36" s="10"/>
      <c r="L36" s="12">
        <f>+F36/$J$7</f>
        <v>-1088.7563847596628</v>
      </c>
      <c r="M36" s="10"/>
      <c r="N36" s="22">
        <f t="shared" ref="N36:N41" si="1">+J36+L36</f>
        <v>-1193.43719830439</v>
      </c>
    </row>
    <row r="37" spans="2:22" ht="14.25" customHeight="1" x14ac:dyDescent="0.2">
      <c r="B37" s="11" t="s">
        <v>32</v>
      </c>
      <c r="D37" s="79">
        <v>0</v>
      </c>
      <c r="E37" s="77">
        <v>0</v>
      </c>
      <c r="F37" s="80">
        <v>5785949.7300000004</v>
      </c>
      <c r="G37" s="80"/>
      <c r="H37" s="80">
        <f>+D37+F37</f>
        <v>5785949.7300000004</v>
      </c>
      <c r="I37" s="10"/>
      <c r="J37" s="12">
        <f>+D37/$J$7</f>
        <v>0</v>
      </c>
      <c r="K37" s="10"/>
      <c r="L37" s="12">
        <f>+F37/$J$7</f>
        <v>1325.0559890257114</v>
      </c>
      <c r="M37" s="10"/>
      <c r="N37" s="22">
        <f t="shared" si="1"/>
        <v>1325.0559890257114</v>
      </c>
    </row>
    <row r="38" spans="2:22" ht="14.25" customHeight="1" x14ac:dyDescent="0.2">
      <c r="B38" s="11" t="s">
        <v>33</v>
      </c>
      <c r="D38" s="78">
        <v>680148.30257699999</v>
      </c>
      <c r="E38" s="80">
        <v>0</v>
      </c>
      <c r="F38" s="78">
        <v>-680148.30257699999</v>
      </c>
      <c r="G38" s="77"/>
      <c r="H38" s="79"/>
      <c r="I38" s="10"/>
      <c r="J38" s="12">
        <f>+D38/$J$7</f>
        <v>155.76260144163498</v>
      </c>
      <c r="K38" s="10"/>
      <c r="L38" s="12">
        <f>+F38/$J$7</f>
        <v>-155.76260144163498</v>
      </c>
      <c r="M38" s="10"/>
      <c r="N38" s="22">
        <f t="shared" si="1"/>
        <v>0</v>
      </c>
    </row>
    <row r="39" spans="2:22" ht="14.25" customHeight="1" x14ac:dyDescent="0.2">
      <c r="B39" s="11" t="s">
        <v>19</v>
      </c>
      <c r="D39" s="13"/>
      <c r="E39" s="10"/>
      <c r="F39" s="13"/>
      <c r="G39" s="10"/>
      <c r="H39" s="12">
        <v>0</v>
      </c>
      <c r="I39" s="10"/>
      <c r="J39" s="12">
        <f>+D39/$J$7</f>
        <v>0</v>
      </c>
      <c r="K39" s="10"/>
      <c r="L39" s="12">
        <f>+F39/$J$7</f>
        <v>0</v>
      </c>
      <c r="M39" s="10"/>
      <c r="N39" s="22">
        <f t="shared" si="1"/>
        <v>0</v>
      </c>
    </row>
    <row r="40" spans="2:22" ht="14.25" customHeight="1" x14ac:dyDescent="0.2">
      <c r="B40" s="14" t="s">
        <v>20</v>
      </c>
      <c r="D40" s="13"/>
      <c r="E40" s="10"/>
      <c r="F40" s="13"/>
      <c r="G40" s="10"/>
      <c r="H40" s="12">
        <v>0</v>
      </c>
      <c r="I40" s="10"/>
      <c r="J40" s="12">
        <f>+D40/$J$7</f>
        <v>0</v>
      </c>
      <c r="K40" s="15"/>
      <c r="L40" s="12">
        <f>+F40/$J$7</f>
        <v>0</v>
      </c>
      <c r="M40" s="15"/>
      <c r="N40" s="22">
        <f t="shared" si="1"/>
        <v>0</v>
      </c>
    </row>
    <row r="41" spans="2:22" ht="14.25" customHeight="1" x14ac:dyDescent="0.2">
      <c r="B41" s="14" t="s">
        <v>21</v>
      </c>
      <c r="D41" s="16"/>
      <c r="E41" s="10"/>
      <c r="F41" s="16"/>
      <c r="G41" s="10"/>
      <c r="H41" s="25">
        <f>+D41+F41</f>
        <v>0</v>
      </c>
      <c r="I41" s="10"/>
      <c r="J41" s="12">
        <f>+J43-SUM(J35:J40)</f>
        <v>3.8831389513613885</v>
      </c>
      <c r="K41" s="15"/>
      <c r="L41" s="12">
        <f>+L43-SUM(L35:L40)</f>
        <v>38.520385738607274</v>
      </c>
      <c r="M41" s="15"/>
      <c r="N41" s="22">
        <f t="shared" si="1"/>
        <v>42.403524689968663</v>
      </c>
    </row>
    <row r="42" spans="2:22" ht="14.25" customHeight="1" x14ac:dyDescent="0.2">
      <c r="B42" s="11" t="s">
        <v>22</v>
      </c>
      <c r="D42" s="12">
        <f>SUM(D40:D41)</f>
        <v>0</v>
      </c>
      <c r="E42" s="10"/>
      <c r="F42" s="12">
        <f>SUM(F40:F41)</f>
        <v>0</v>
      </c>
      <c r="G42" s="10"/>
      <c r="H42" s="12">
        <f>SUM(H40:H41)</f>
        <v>0</v>
      </c>
      <c r="I42" s="10"/>
      <c r="J42" s="12">
        <f>SUM(J40:J41)</f>
        <v>3.8831389513613885</v>
      </c>
      <c r="K42" s="10"/>
      <c r="L42" s="12">
        <f>SUM(L40:L41)</f>
        <v>38.520385738607274</v>
      </c>
      <c r="M42" s="10"/>
      <c r="N42" s="22">
        <f>SUM(N40:N41)</f>
        <v>42.403524689968663</v>
      </c>
    </row>
    <row r="43" spans="2:22" ht="14.25" customHeight="1" x14ac:dyDescent="0.2">
      <c r="B43" s="17" t="s">
        <v>23</v>
      </c>
      <c r="D43" s="18">
        <f>SUM(D35:D39,D42)</f>
        <v>1852016.7442569002</v>
      </c>
      <c r="E43" s="19"/>
      <c r="F43" s="18">
        <f>SUM(F35:F39,F42)</f>
        <v>16510850.774592523</v>
      </c>
      <c r="G43" s="19"/>
      <c r="H43" s="18">
        <f>SUM(H35:H39,H42)</f>
        <v>18362867.518849432</v>
      </c>
      <c r="I43" s="10"/>
      <c r="J43" s="20">
        <f>+D43/$J$7</f>
        <v>424.1353612233172</v>
      </c>
      <c r="K43" s="10"/>
      <c r="L43" s="20">
        <f>+F43/$J$7</f>
        <v>3781.1945702444996</v>
      </c>
      <c r="M43" s="10"/>
      <c r="N43" s="31">
        <f>SUM(N35:N39,N42)</f>
        <v>4205.3299314678161</v>
      </c>
    </row>
    <row r="44" spans="2:22" ht="14.25" customHeight="1" x14ac:dyDescent="0.2">
      <c r="B44" s="11" t="s">
        <v>24</v>
      </c>
      <c r="D44" s="21">
        <v>-251991.82500000042</v>
      </c>
      <c r="E44" s="10"/>
      <c r="F44" s="13">
        <v>0</v>
      </c>
      <c r="G44" s="10"/>
      <c r="H44" s="21">
        <v>-251991.82100000023</v>
      </c>
      <c r="I44" s="10"/>
      <c r="J44" s="12">
        <f>+D44/$J$9</f>
        <v>-57.108628895184232</v>
      </c>
      <c r="K44" s="10"/>
      <c r="L44" s="12">
        <f>+F44/$J$9</f>
        <v>0</v>
      </c>
      <c r="M44" s="10"/>
      <c r="N44" s="22">
        <f>+J44+L44</f>
        <v>-57.108628895184232</v>
      </c>
    </row>
    <row r="45" spans="2:22" ht="14.25" customHeight="1" x14ac:dyDescent="0.2">
      <c r="B45" s="11" t="s">
        <v>34</v>
      </c>
      <c r="D45" s="24"/>
      <c r="E45" s="10"/>
      <c r="F45" s="13"/>
      <c r="G45" s="10"/>
      <c r="H45" s="53">
        <f>D45</f>
        <v>0</v>
      </c>
      <c r="I45" s="10"/>
      <c r="J45" s="12">
        <f>+D45/$J$7</f>
        <v>0</v>
      </c>
      <c r="K45" s="10"/>
      <c r="L45" s="12">
        <f>+F45/$J$7</f>
        <v>0</v>
      </c>
      <c r="M45" s="10"/>
      <c r="N45" s="22">
        <f>+J45+L45</f>
        <v>0</v>
      </c>
    </row>
    <row r="46" spans="2:22" ht="14.25" customHeight="1" x14ac:dyDescent="0.2">
      <c r="B46" s="11" t="s">
        <v>26</v>
      </c>
      <c r="D46" s="21">
        <v>46844.008000000293</v>
      </c>
      <c r="E46" s="10"/>
      <c r="F46" s="13"/>
      <c r="G46" s="10"/>
      <c r="H46" s="22">
        <f>+D46+F46</f>
        <v>46844.008000000293</v>
      </c>
      <c r="I46" s="10"/>
      <c r="J46" s="12">
        <f>+D46/$J$7</f>
        <v>10.727872907110225</v>
      </c>
      <c r="K46" s="10"/>
      <c r="L46" s="12">
        <f>+F46/$J$7</f>
        <v>0</v>
      </c>
      <c r="M46" s="10"/>
      <c r="N46" s="22">
        <f>+J46+L46</f>
        <v>10.727872907110225</v>
      </c>
    </row>
    <row r="47" spans="2:22" ht="14.25" customHeight="1" x14ac:dyDescent="0.2">
      <c r="B47" s="14" t="s">
        <v>20</v>
      </c>
      <c r="D47" s="13"/>
      <c r="E47" s="10"/>
      <c r="F47" s="13"/>
      <c r="G47" s="10"/>
      <c r="H47" s="12">
        <f>+D47+F47</f>
        <v>0</v>
      </c>
      <c r="I47" s="10"/>
      <c r="J47" s="12">
        <f>+D47/$J$7</f>
        <v>0</v>
      </c>
      <c r="K47" s="15"/>
      <c r="L47" s="12">
        <f>+F47/$J$7</f>
        <v>0</v>
      </c>
      <c r="M47" s="15"/>
      <c r="N47" s="22">
        <f>+J47+L47</f>
        <v>0</v>
      </c>
    </row>
    <row r="48" spans="2:22" ht="14.25" customHeight="1" x14ac:dyDescent="0.2">
      <c r="B48" s="14" t="s">
        <v>21</v>
      </c>
      <c r="D48" s="16"/>
      <c r="E48" s="10"/>
      <c r="F48" s="16"/>
      <c r="G48" s="10"/>
      <c r="H48" s="25">
        <f>+D48+F48</f>
        <v>0</v>
      </c>
      <c r="I48" s="10"/>
      <c r="J48" s="12">
        <f>+J50-SUM(J44:J47)</f>
        <v>-0.60070016629890688</v>
      </c>
      <c r="K48" s="15"/>
      <c r="L48" s="12">
        <f>+L50-SUM(L44:L47)</f>
        <v>0</v>
      </c>
      <c r="M48" s="15"/>
      <c r="N48" s="22">
        <f>+J48+L48</f>
        <v>-0.60070016629890688</v>
      </c>
    </row>
    <row r="49" spans="2:14" ht="14.25" customHeight="1" x14ac:dyDescent="0.2">
      <c r="B49" s="11" t="s">
        <v>22</v>
      </c>
      <c r="D49" s="12">
        <f>SUM(D47:D48)</f>
        <v>0</v>
      </c>
      <c r="E49" s="10"/>
      <c r="F49" s="12">
        <f>SUM(F47:F48)</f>
        <v>0</v>
      </c>
      <c r="G49" s="10"/>
      <c r="H49" s="12">
        <f>SUM(H47:H48)</f>
        <v>0</v>
      </c>
      <c r="I49" s="10"/>
      <c r="J49" s="12">
        <f>SUM(J47:J48)</f>
        <v>-0.60070016629890688</v>
      </c>
      <c r="K49" s="10"/>
      <c r="L49" s="12">
        <f>SUM(L47:L48)</f>
        <v>0</v>
      </c>
      <c r="M49" s="10"/>
      <c r="N49" s="22">
        <f>SUM(N47:N48)</f>
        <v>-0.60070016629890688</v>
      </c>
    </row>
    <row r="50" spans="2:14" ht="14.25" customHeight="1" x14ac:dyDescent="0.2">
      <c r="B50" s="26" t="s">
        <v>27</v>
      </c>
      <c r="D50" s="18">
        <f>SUM(D44:D46,D49)</f>
        <v>-205147.81700000013</v>
      </c>
      <c r="E50" s="10"/>
      <c r="F50" s="20">
        <f>SUM(F44:F46,F49)</f>
        <v>0</v>
      </c>
      <c r="G50" s="10"/>
      <c r="H50" s="31">
        <f>SUM(H44:H46,H49)</f>
        <v>-205147.81299999994</v>
      </c>
      <c r="I50" s="10"/>
      <c r="J50" s="34">
        <f>+D50/$J$7</f>
        <v>-46.981456154372914</v>
      </c>
      <c r="K50" s="10"/>
      <c r="L50" s="20">
        <f>+F50/$J$7</f>
        <v>0</v>
      </c>
      <c r="M50" s="10"/>
      <c r="N50" s="50">
        <f>SUM(N44:N46,N49)</f>
        <v>-46.981456154372914</v>
      </c>
    </row>
    <row r="51" spans="2:14" ht="14.25" customHeight="1" x14ac:dyDescent="0.2">
      <c r="B51" s="27" t="s">
        <v>28</v>
      </c>
      <c r="D51" s="46">
        <f>+D43+D50</f>
        <v>1646868.9272569001</v>
      </c>
      <c r="E51" s="19"/>
      <c r="F51" s="46">
        <f>+F43+F50</f>
        <v>16510850.774592523</v>
      </c>
      <c r="G51" s="19"/>
      <c r="H51" s="46">
        <f>+H43+H50</f>
        <v>18157719.705849431</v>
      </c>
      <c r="I51" s="10"/>
      <c r="J51" s="51">
        <f>+J43+J50</f>
        <v>377.15390506894431</v>
      </c>
      <c r="K51" s="10"/>
      <c r="L51" s="51">
        <f>+L43+L50</f>
        <v>3781.1945702444996</v>
      </c>
      <c r="M51" s="10"/>
      <c r="N51" s="52">
        <f>+N43+N50</f>
        <v>4158.3484753134435</v>
      </c>
    </row>
    <row r="52" spans="2:14" x14ac:dyDescent="0.2">
      <c r="D52" s="30">
        <f>+D30-D51</f>
        <v>3.3201000187546015E-3</v>
      </c>
      <c r="E52" s="30">
        <f t="shared" ref="E52:I52" si="2">+E30-E51</f>
        <v>0</v>
      </c>
      <c r="F52" s="30">
        <f t="shared" si="2"/>
        <v>-1.4169521629810333E-2</v>
      </c>
      <c r="G52" s="30">
        <f t="shared" si="2"/>
        <v>0</v>
      </c>
      <c r="H52" s="71">
        <f t="shared" si="2"/>
        <v>-4.8494264483451843E-3</v>
      </c>
      <c r="I52" s="30">
        <f t="shared" si="2"/>
        <v>0</v>
      </c>
    </row>
    <row r="63373" spans="2:2" x14ac:dyDescent="0.2">
      <c r="B63373" s="1" t="s">
        <v>35</v>
      </c>
    </row>
    <row r="63374" spans="2:2" x14ac:dyDescent="0.2">
      <c r="B63374" s="1" t="s">
        <v>36</v>
      </c>
    </row>
    <row r="63375" spans="2:2" x14ac:dyDescent="0.2">
      <c r="B63375" s="1" t="s">
        <v>37</v>
      </c>
    </row>
    <row r="63376" spans="2:2" x14ac:dyDescent="0.2">
      <c r="B63376" s="1" t="s">
        <v>38</v>
      </c>
    </row>
    <row r="63377" spans="2:2" x14ac:dyDescent="0.2">
      <c r="B63377" s="1" t="s">
        <v>39</v>
      </c>
    </row>
    <row r="63378" spans="2:2" x14ac:dyDescent="0.2">
      <c r="B63378" s="1" t="s">
        <v>6</v>
      </c>
    </row>
    <row r="63379" spans="2:2" x14ac:dyDescent="0.2">
      <c r="B63379" s="1" t="s">
        <v>3</v>
      </c>
    </row>
    <row r="63380" spans="2:2" x14ac:dyDescent="0.2">
      <c r="B63380" s="1" t="s">
        <v>40</v>
      </c>
    </row>
    <row r="63381" spans="2:2" x14ac:dyDescent="0.2">
      <c r="B63381" s="1" t="s">
        <v>41</v>
      </c>
    </row>
    <row r="63382" spans="2:2" x14ac:dyDescent="0.2">
      <c r="B63382" s="1" t="s">
        <v>42</v>
      </c>
    </row>
    <row r="63383" spans="2:2" x14ac:dyDescent="0.2">
      <c r="B63383" s="1" t="s">
        <v>43</v>
      </c>
    </row>
    <row r="63384" spans="2:2" x14ac:dyDescent="0.2">
      <c r="B63384" s="1" t="s">
        <v>44</v>
      </c>
    </row>
  </sheetData>
  <mergeCells count="19">
    <mergeCell ref="B33:B34"/>
    <mergeCell ref="D33:H33"/>
    <mergeCell ref="J33:N33"/>
    <mergeCell ref="F10:G10"/>
    <mergeCell ref="H10:I10"/>
    <mergeCell ref="J10:K10"/>
    <mergeCell ref="B12:B13"/>
    <mergeCell ref="D12:H12"/>
    <mergeCell ref="J12:N12"/>
    <mergeCell ref="B2:N2"/>
    <mergeCell ref="B4:H4"/>
    <mergeCell ref="D7:E10"/>
    <mergeCell ref="F7:G9"/>
    <mergeCell ref="H7:I7"/>
    <mergeCell ref="J7:K7"/>
    <mergeCell ref="H8:I8"/>
    <mergeCell ref="J8:K8"/>
    <mergeCell ref="H9:I9"/>
    <mergeCell ref="J9:K9"/>
  </mergeCells>
  <dataValidations count="4">
    <dataValidation type="list" allowBlank="1" showInputMessage="1" showErrorMessage="1" sqref="ELS64225 WQI981729 WGM981729 VWQ981729 VMU981729 VCY981729 UTC981729 UJG981729 TZK981729 TPO981729 TFS981729 SVW981729 SMA981729 SCE981729 RSI981729 RIM981729 QYQ981729 QOU981729 QEY981729 PVC981729 PLG981729 PBK981729 ORO981729 OHS981729 NXW981729 NOA981729 NEE981729 MUI981729 MKM981729 MAQ981729 LQU981729 LGY981729 KXC981729 KNG981729 KDK981729 JTO981729 JJS981729 IZW981729 IQA981729 IGE981729 HWI981729 HMM981729 HCQ981729 GSU981729 GIY981729 FZC981729 FPG981729 FFK981729 EVO981729 ELS981729 EBW981729 DSA981729 DIE981729 CYI981729 COM981729 CEQ981729 BUU981729 BKY981729 BBC981729 ARG981729 AHK981729 XO981729 NS981729 DW981729 EBW64225 WQI916193 WGM916193 VWQ916193 VMU916193 VCY916193 UTC916193 UJG916193 TZK916193 TPO916193 TFS916193 SVW916193 SMA916193 SCE916193 RSI916193 RIM916193 QYQ916193 QOU916193 QEY916193 PVC916193 PLG916193 PBK916193 ORO916193 OHS916193 NXW916193 NOA916193 NEE916193 MUI916193 MKM916193 MAQ916193 LQU916193 LGY916193 KXC916193 KNG916193 KDK916193 JTO916193 JJS916193 IZW916193 IQA916193 IGE916193 HWI916193 HMM916193 HCQ916193 GSU916193 GIY916193 FZC916193 FPG916193 FFK916193 EVO916193 ELS916193 EBW916193 DSA916193 DIE916193 CYI916193 COM916193 CEQ916193 BUU916193 BKY916193 BBC916193 ARG916193 AHK916193 XO916193 NS916193 DW916193 DSA64225 WQI850657 WGM850657 VWQ850657 VMU850657 VCY850657 UTC850657 UJG850657 TZK850657 TPO850657 TFS850657 SVW850657 SMA850657 SCE850657 RSI850657 RIM850657 QYQ850657 QOU850657 QEY850657 PVC850657 PLG850657 PBK850657 ORO850657 OHS850657 NXW850657 NOA850657 NEE850657 MUI850657 MKM850657 MAQ850657 LQU850657 LGY850657 KXC850657 KNG850657 KDK850657 JTO850657 JJS850657 IZW850657 IQA850657 IGE850657 HWI850657 HMM850657 HCQ850657 GSU850657 GIY850657 FZC850657 FPG850657 FFK850657 EVO850657 ELS850657 EBW850657 DSA850657 DIE850657 CYI850657 COM850657 CEQ850657 BUU850657 BKY850657 BBC850657 ARG850657 AHK850657 XO850657 NS850657 DW850657 DIE64225 WQI785121 WGM785121 VWQ785121 VMU785121 VCY785121 UTC785121 UJG785121 TZK785121 TPO785121 TFS785121 SVW785121 SMA785121 SCE785121 RSI785121 RIM785121 QYQ785121 QOU785121 QEY785121 PVC785121 PLG785121 PBK785121 ORO785121 OHS785121 NXW785121 NOA785121 NEE785121 MUI785121 MKM785121 MAQ785121 LQU785121 LGY785121 KXC785121 KNG785121 KDK785121 JTO785121 JJS785121 IZW785121 IQA785121 IGE785121 HWI785121 HMM785121 HCQ785121 GSU785121 GIY785121 FZC785121 FPG785121 FFK785121 EVO785121 ELS785121 EBW785121 DSA785121 DIE785121 CYI785121 COM785121 CEQ785121 BUU785121 BKY785121 BBC785121 ARG785121 AHK785121 XO785121 NS785121 DW785121 CYI64225 WQI719585 WGM719585 VWQ719585 VMU719585 VCY719585 UTC719585 UJG719585 TZK719585 TPO719585 TFS719585 SVW719585 SMA719585 SCE719585 RSI719585 RIM719585 QYQ719585 QOU719585 QEY719585 PVC719585 PLG719585 PBK719585 ORO719585 OHS719585 NXW719585 NOA719585 NEE719585 MUI719585 MKM719585 MAQ719585 LQU719585 LGY719585 KXC719585 KNG719585 KDK719585 JTO719585 JJS719585 IZW719585 IQA719585 IGE719585 HWI719585 HMM719585 HCQ719585 GSU719585 GIY719585 FZC719585 FPG719585 FFK719585 EVO719585 ELS719585 EBW719585 DSA719585 DIE719585 CYI719585 COM719585 CEQ719585 BUU719585 BKY719585 BBC719585 ARG719585 AHK719585 XO719585 NS719585 DW719585 COM64225 WQI654049 WGM654049 VWQ654049 VMU654049 VCY654049 UTC654049 UJG654049 TZK654049 TPO654049 TFS654049 SVW654049 SMA654049 SCE654049 RSI654049 RIM654049 QYQ654049 QOU654049 QEY654049 PVC654049 PLG654049 PBK654049 ORO654049 OHS654049 NXW654049 NOA654049 NEE654049 MUI654049 MKM654049 MAQ654049 LQU654049 LGY654049 KXC654049 KNG654049 KDK654049 JTO654049 JJS654049 IZW654049 IQA654049 IGE654049 HWI654049 HMM654049 HCQ654049 GSU654049 GIY654049 FZC654049 FPG654049 FFK654049 EVO654049 ELS654049 EBW654049 DSA654049 DIE654049 CYI654049 COM654049 CEQ654049 BUU654049 BKY654049 BBC654049 ARG654049 AHK654049 XO654049 NS654049 DW654049 CEQ64225 WQI588513 WGM588513 VWQ588513 VMU588513 VCY588513 UTC588513 UJG588513 TZK588513 TPO588513 TFS588513 SVW588513 SMA588513 SCE588513 RSI588513 RIM588513 QYQ588513 QOU588513 QEY588513 PVC588513 PLG588513 PBK588513 ORO588513 OHS588513 NXW588513 NOA588513 NEE588513 MUI588513 MKM588513 MAQ588513 LQU588513 LGY588513 KXC588513 KNG588513 KDK588513 JTO588513 JJS588513 IZW588513 IQA588513 IGE588513 HWI588513 HMM588513 HCQ588513 GSU588513 GIY588513 FZC588513 FPG588513 FFK588513 EVO588513 ELS588513 EBW588513 DSA588513 DIE588513 CYI588513 COM588513 CEQ588513 BUU588513 BKY588513 BBC588513 ARG588513 AHK588513 XO588513 NS588513 DW588513 BUU64225 WQI522977 WGM522977 VWQ522977 VMU522977 VCY522977 UTC522977 UJG522977 TZK522977 TPO522977 TFS522977 SVW522977 SMA522977 SCE522977 RSI522977 RIM522977 QYQ522977 QOU522977 QEY522977 PVC522977 PLG522977 PBK522977 ORO522977 OHS522977 NXW522977 NOA522977 NEE522977 MUI522977 MKM522977 MAQ522977 LQU522977 LGY522977 KXC522977 KNG522977 KDK522977 JTO522977 JJS522977 IZW522977 IQA522977 IGE522977 HWI522977 HMM522977 HCQ522977 GSU522977 GIY522977 FZC522977 FPG522977 FFK522977 EVO522977 ELS522977 EBW522977 DSA522977 DIE522977 CYI522977 COM522977 CEQ522977 BUU522977 BKY522977 BBC522977 ARG522977 AHK522977 XO522977 NS522977 DW522977 BKY64225 WQI457441 WGM457441 VWQ457441 VMU457441 VCY457441 UTC457441 UJG457441 TZK457441 TPO457441 TFS457441 SVW457441 SMA457441 SCE457441 RSI457441 RIM457441 QYQ457441 QOU457441 QEY457441 PVC457441 PLG457441 PBK457441 ORO457441 OHS457441 NXW457441 NOA457441 NEE457441 MUI457441 MKM457441 MAQ457441 LQU457441 LGY457441 KXC457441 KNG457441 KDK457441 JTO457441 JJS457441 IZW457441 IQA457441 IGE457441 HWI457441 HMM457441 HCQ457441 GSU457441 GIY457441 FZC457441 FPG457441 FFK457441 EVO457441 ELS457441 EBW457441 DSA457441 DIE457441 CYI457441 COM457441 CEQ457441 BUU457441 BKY457441 BBC457441 ARG457441 AHK457441 XO457441 NS457441 DW457441 BBC64225 WQI391905 WGM391905 VWQ391905 VMU391905 VCY391905 UTC391905 UJG391905 TZK391905 TPO391905 TFS391905 SVW391905 SMA391905 SCE391905 RSI391905 RIM391905 QYQ391905 QOU391905 QEY391905 PVC391905 PLG391905 PBK391905 ORO391905 OHS391905 NXW391905 NOA391905 NEE391905 MUI391905 MKM391905 MAQ391905 LQU391905 LGY391905 KXC391905 KNG391905 KDK391905 JTO391905 JJS391905 IZW391905 IQA391905 IGE391905 HWI391905 HMM391905 HCQ391905 GSU391905 GIY391905 FZC391905 FPG391905 FFK391905 EVO391905 ELS391905 EBW391905 DSA391905 DIE391905 CYI391905 COM391905 CEQ391905 BUU391905 BKY391905 BBC391905 ARG391905 AHK391905 XO391905 NS391905 DW391905 ARG64225 WQI326369 WGM326369 VWQ326369 VMU326369 VCY326369 UTC326369 UJG326369 TZK326369 TPO326369 TFS326369 SVW326369 SMA326369 SCE326369 RSI326369 RIM326369 QYQ326369 QOU326369 QEY326369 PVC326369 PLG326369 PBK326369 ORO326369 OHS326369 NXW326369 NOA326369 NEE326369 MUI326369 MKM326369 MAQ326369 LQU326369 LGY326369 KXC326369 KNG326369 KDK326369 JTO326369 JJS326369 IZW326369 IQA326369 IGE326369 HWI326369 HMM326369 HCQ326369 GSU326369 GIY326369 FZC326369 FPG326369 FFK326369 EVO326369 ELS326369 EBW326369 DSA326369 DIE326369 CYI326369 COM326369 CEQ326369 BUU326369 BKY326369 BBC326369 ARG326369 AHK326369 XO326369 NS326369 DW326369 AHK64225 WQI260833 WGM260833 VWQ260833 VMU260833 VCY260833 UTC260833 UJG260833 TZK260833 TPO260833 TFS260833 SVW260833 SMA260833 SCE260833 RSI260833 RIM260833 QYQ260833 QOU260833 QEY260833 PVC260833 PLG260833 PBK260833 ORO260833 OHS260833 NXW260833 NOA260833 NEE260833 MUI260833 MKM260833 MAQ260833 LQU260833 LGY260833 KXC260833 KNG260833 KDK260833 JTO260833 JJS260833 IZW260833 IQA260833 IGE260833 HWI260833 HMM260833 HCQ260833 GSU260833 GIY260833 FZC260833 FPG260833 FFK260833 EVO260833 ELS260833 EBW260833 DSA260833 DIE260833 CYI260833 COM260833 CEQ260833 BUU260833 BKY260833 BBC260833 ARG260833 AHK260833 XO260833 NS260833 DW260833 XO64225 WQI195297 WGM195297 VWQ195297 VMU195297 VCY195297 UTC195297 UJG195297 TZK195297 TPO195297 TFS195297 SVW195297 SMA195297 SCE195297 RSI195297 RIM195297 QYQ195297 QOU195297 QEY195297 PVC195297 PLG195297 PBK195297 ORO195297 OHS195297 NXW195297 NOA195297 NEE195297 MUI195297 MKM195297 MAQ195297 LQU195297 LGY195297 KXC195297 KNG195297 KDK195297 JTO195297 JJS195297 IZW195297 IQA195297 IGE195297 HWI195297 HMM195297 HCQ195297 GSU195297 GIY195297 FZC195297 FPG195297 FFK195297 EVO195297 ELS195297 EBW195297 DSA195297 DIE195297 CYI195297 COM195297 CEQ195297 BUU195297 BKY195297 BBC195297 ARG195297 AHK195297 XO195297 NS195297 DW195297 NS64225 WQI129761 WGM129761 VWQ129761 VMU129761 VCY129761 UTC129761 UJG129761 TZK129761 TPO129761 TFS129761 SVW129761 SMA129761 SCE129761 RSI129761 RIM129761 QYQ129761 QOU129761 QEY129761 PVC129761 PLG129761 PBK129761 ORO129761 OHS129761 NXW129761 NOA129761 NEE129761 MUI129761 MKM129761 MAQ129761 LQU129761 LGY129761 KXC129761 KNG129761 KDK129761 JTO129761 JJS129761 IZW129761 IQA129761 IGE129761 HWI129761 HMM129761 HCQ129761 GSU129761 GIY129761 FZC129761 FPG129761 FFK129761 EVO129761 ELS129761 EBW129761 DSA129761 DIE129761 CYI129761 COM129761 CEQ129761 BUU129761 BKY129761 BBC129761 ARG129761 AHK129761 XO129761 NS129761 DW129761 DW64225 WQI64225 WGM64225 VWQ64225 VMU64225 VCY64225 UTC64225 UJG64225 TZK64225 TPO64225 TFS64225 SVW64225 SMA64225 SCE64225 RSI64225 RIM64225 QYQ64225 QOU64225 QEY64225 PVC64225 PLG64225 PBK64225 ORO64225 OHS64225 NXW64225 NOA64225 NEE64225 MUI64225 MKM64225 MAQ64225 LQU64225 LGY64225 KXC64225 KNG64225 KDK64225 JTO64225 JJS64225 IZW64225 IQA64225 IGE64225 HWI64225 HMM64225 HCQ64225 GSU64225 GIY64225 FZC64225 FPG64225 FFK64225 EVO64225" xr:uid="{1E2810F6-8B47-47F4-AB2A-1777D21ACE9A}">
      <formula1>$B$63284:$B$63983</formula1>
    </dataValidation>
    <dataValidation type="list" allowBlank="1" showInputMessage="1" showErrorMessage="1" sqref="DW5 FFK5 FPG5 FZC5 GIY5 GSU5 HCQ5 HMM5 HWI5 IGE5 IQA5 IZW5 JJS5 JTO5 KDK5 KNG5 KXC5 LGY5 LQU5 MAQ5 MKM5 MUI5 NEE5 NOA5 NXW5 OHS5 ORO5 PBK5 PLG5 PVC5 QEY5 QOU5 QYQ5 RIM5 RSI5 SCE5 SMA5 SVW5 TFS5 TPO5 TZK5 UJG5 UTC5 VCY5 VMU5 VWQ5 WGM5 WQI5 NS5 XO5 AHK5 ARG5 BBC5 BKY5 BUU5 CEQ5 COM5 CYI5 DIE5 DSA5 EBW5 ELS5 EVO5" xr:uid="{47CD9FA7-10F5-4CCB-ACBD-DA592A4486E6}">
      <formula1>$B$63455:$B$64154</formula1>
    </dataValidation>
    <dataValidation type="list" allowBlank="1" showInputMessage="1" showErrorMessage="1" sqref="B5" xr:uid="{948A1DF1-8B36-4222-A169-4FB7D24CE213}">
      <formula1>$B$63368:$B$64067</formula1>
    </dataValidation>
    <dataValidation type="list" allowBlank="1" showInputMessage="1" showErrorMessage="1" sqref="B64290 B129826 B195362 B260898 B326434 B391970 B457506 B523042 B588578 B654114 B719650 B785186 B850722 B916258 B981794" xr:uid="{9C0B34AF-31C6-4BAA-B297-1EFD012D373D}">
      <formula1>$B$63358:$B$64057</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AU22"/>
  <sheetViews>
    <sheetView zoomScale="87" zoomScaleNormal="87" workbookViewId="0">
      <pane xSplit="3" ySplit="7" topLeftCell="H8" activePane="bottomRight" state="frozen"/>
      <selection pane="topRight" activeCell="D1" sqref="D1"/>
      <selection pane="bottomLeft" activeCell="A8" sqref="A8"/>
      <selection pane="bottomRight" activeCell="Q15" sqref="Q15"/>
    </sheetView>
  </sheetViews>
  <sheetFormatPr baseColWidth="10" defaultColWidth="11.42578125" defaultRowHeight="12.75" x14ac:dyDescent="0.2"/>
  <cols>
    <col min="1" max="1" width="8.5703125" style="60" bestFit="1" customWidth="1"/>
    <col min="2" max="2" width="38.28515625" style="60" bestFit="1" customWidth="1"/>
    <col min="3" max="3" width="18.140625" style="68" bestFit="1" customWidth="1"/>
    <col min="4" max="5" width="18.140625" style="69" bestFit="1" customWidth="1"/>
    <col min="6" max="8" width="18.140625" style="69" customWidth="1"/>
    <col min="9" max="9" width="15.140625" style="69" hidden="1" customWidth="1"/>
    <col min="10" max="10" width="17" style="69" bestFit="1" customWidth="1"/>
    <col min="11" max="11" width="15.42578125" style="69" bestFit="1" customWidth="1"/>
    <col min="12" max="12" width="18.28515625" style="69" customWidth="1"/>
    <col min="13" max="14" width="15.5703125" style="69" customWidth="1"/>
    <col min="15" max="15" width="15.85546875" style="69" bestFit="1" customWidth="1"/>
    <col min="16" max="16" width="3.7109375" style="68" customWidth="1"/>
    <col min="17" max="17" width="14.28515625" style="69" bestFit="1" customWidth="1"/>
    <col min="18" max="18" width="15.5703125" style="69" bestFit="1" customWidth="1"/>
    <col min="19" max="19" width="14.28515625" style="69" bestFit="1" customWidth="1"/>
    <col min="20" max="20" width="15" style="69" customWidth="1"/>
    <col min="21" max="21" width="10.5703125" style="69" hidden="1" customWidth="1"/>
    <col min="22" max="23" width="10.140625" style="69" hidden="1" customWidth="1"/>
    <col min="24" max="26" width="10" style="69" hidden="1" customWidth="1"/>
    <col min="27" max="27" width="11.28515625" style="69" hidden="1" customWidth="1"/>
    <col min="28" max="28" width="10" style="69" hidden="1" customWidth="1"/>
    <col min="29" max="29" width="11.85546875" style="69" hidden="1" customWidth="1"/>
    <col min="30" max="31" width="11.7109375" style="69" hidden="1" customWidth="1"/>
    <col min="32" max="37" width="11.5703125" style="69" bestFit="1" customWidth="1"/>
    <col min="38" max="16384" width="11.42578125" style="69"/>
  </cols>
  <sheetData>
    <row r="1" spans="1:47" s="57" customFormat="1" ht="15" x14ac:dyDescent="0.25">
      <c r="A1" s="109"/>
      <c r="B1" s="109"/>
      <c r="C1" s="109" t="s">
        <v>45</v>
      </c>
      <c r="D1" s="109" t="s">
        <v>45</v>
      </c>
      <c r="E1" s="109" t="s">
        <v>45</v>
      </c>
      <c r="F1" s="109" t="s">
        <v>45</v>
      </c>
      <c r="G1" s="109" t="s">
        <v>45</v>
      </c>
      <c r="H1" s="109" t="s">
        <v>45</v>
      </c>
      <c r="I1" s="109" t="s">
        <v>45</v>
      </c>
      <c r="J1" s="109" t="s">
        <v>45</v>
      </c>
      <c r="K1" s="109" t="s">
        <v>45</v>
      </c>
      <c r="L1" s="109" t="s">
        <v>45</v>
      </c>
      <c r="M1" s="109" t="s">
        <v>45</v>
      </c>
      <c r="N1" s="109" t="s">
        <v>45</v>
      </c>
      <c r="O1" s="109" t="s">
        <v>45</v>
      </c>
      <c r="P1" s="109"/>
      <c r="Q1" s="109" t="s">
        <v>45</v>
      </c>
      <c r="R1" s="109" t="s">
        <v>45</v>
      </c>
      <c r="S1" s="109" t="s">
        <v>45</v>
      </c>
      <c r="T1" s="109" t="s">
        <v>45</v>
      </c>
      <c r="U1" s="109" t="s">
        <v>45</v>
      </c>
      <c r="V1" s="109" t="s">
        <v>45</v>
      </c>
      <c r="W1" s="109" t="s">
        <v>45</v>
      </c>
      <c r="X1" s="109" t="s">
        <v>45</v>
      </c>
      <c r="Y1" s="109" t="s">
        <v>45</v>
      </c>
      <c r="Z1" s="109" t="s">
        <v>45</v>
      </c>
      <c r="AA1" s="109" t="s">
        <v>45</v>
      </c>
      <c r="AB1" s="109" t="s">
        <v>45</v>
      </c>
      <c r="AC1" s="109" t="s">
        <v>45</v>
      </c>
      <c r="AD1" s="109" t="s">
        <v>45</v>
      </c>
      <c r="AE1" s="62"/>
      <c r="AF1" s="62"/>
      <c r="AG1" s="62"/>
      <c r="AH1" s="62"/>
      <c r="AI1" s="62"/>
      <c r="AJ1" s="62"/>
      <c r="AK1" s="62"/>
      <c r="AL1" s="56"/>
      <c r="AM1" s="56"/>
      <c r="AN1" s="56"/>
      <c r="AO1" s="56"/>
      <c r="AP1" s="56"/>
      <c r="AQ1" s="56"/>
      <c r="AR1" s="56"/>
      <c r="AS1" s="56"/>
      <c r="AT1" s="56"/>
      <c r="AU1" s="56"/>
    </row>
    <row r="2" spans="1:47" s="59" customFormat="1" ht="15" x14ac:dyDescent="0.25">
      <c r="A2" s="109"/>
      <c r="B2" s="109"/>
      <c r="C2" s="110" t="s">
        <v>113</v>
      </c>
      <c r="D2" s="110" t="s">
        <v>97</v>
      </c>
      <c r="E2" s="110" t="s">
        <v>97</v>
      </c>
      <c r="F2" s="110" t="s">
        <v>97</v>
      </c>
      <c r="G2" s="110" t="s">
        <v>97</v>
      </c>
      <c r="H2" s="110" t="s">
        <v>97</v>
      </c>
      <c r="I2" s="110" t="s">
        <v>97</v>
      </c>
      <c r="J2" s="110" t="s">
        <v>97</v>
      </c>
      <c r="K2" s="110" t="s">
        <v>97</v>
      </c>
      <c r="L2" s="110" t="s">
        <v>97</v>
      </c>
      <c r="M2" s="110" t="s">
        <v>97</v>
      </c>
      <c r="N2" s="110" t="s">
        <v>97</v>
      </c>
      <c r="O2" s="110" t="s">
        <v>97</v>
      </c>
      <c r="P2" s="109"/>
      <c r="Q2" s="110" t="s">
        <v>113</v>
      </c>
      <c r="R2" s="110" t="s">
        <v>97</v>
      </c>
      <c r="S2" s="110" t="s">
        <v>97</v>
      </c>
      <c r="T2" s="110" t="s">
        <v>97</v>
      </c>
      <c r="U2" s="110" t="s">
        <v>97</v>
      </c>
      <c r="V2" s="110" t="s">
        <v>97</v>
      </c>
      <c r="W2" s="110" t="s">
        <v>97</v>
      </c>
      <c r="X2" s="110" t="s">
        <v>97</v>
      </c>
      <c r="Y2" s="110" t="s">
        <v>97</v>
      </c>
      <c r="Z2" s="110" t="s">
        <v>97</v>
      </c>
      <c r="AA2" s="110" t="s">
        <v>97</v>
      </c>
      <c r="AB2" s="110" t="s">
        <v>97</v>
      </c>
      <c r="AC2" s="110" t="s">
        <v>97</v>
      </c>
      <c r="AD2" s="110" t="s">
        <v>46</v>
      </c>
      <c r="AE2" s="63"/>
      <c r="AF2" s="63"/>
      <c r="AG2" s="63"/>
      <c r="AH2" s="63"/>
      <c r="AI2" s="63"/>
      <c r="AJ2" s="63"/>
      <c r="AK2" s="63"/>
      <c r="AL2" s="58"/>
      <c r="AM2" s="58"/>
      <c r="AN2" s="58"/>
      <c r="AO2" s="58"/>
      <c r="AP2" s="58"/>
      <c r="AQ2" s="58"/>
      <c r="AR2" s="58"/>
      <c r="AS2" s="58"/>
      <c r="AT2" s="58"/>
      <c r="AU2" s="58"/>
    </row>
    <row r="3" spans="1:47" s="57" customFormat="1" ht="15" x14ac:dyDescent="0.25">
      <c r="A3" s="109"/>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62"/>
      <c r="AF3" s="62"/>
      <c r="AG3" s="62"/>
      <c r="AH3" s="62"/>
      <c r="AI3" s="62"/>
      <c r="AJ3" s="62"/>
      <c r="AK3" s="62"/>
      <c r="AL3" s="56"/>
      <c r="AM3" s="56"/>
      <c r="AN3" s="56"/>
      <c r="AO3" s="56"/>
      <c r="AP3" s="56"/>
      <c r="AQ3" s="56"/>
      <c r="AR3" s="56"/>
      <c r="AS3" s="56"/>
      <c r="AT3" s="56"/>
      <c r="AU3" s="56"/>
    </row>
    <row r="4" spans="1:47" s="57" customFormat="1" ht="15" x14ac:dyDescent="0.25">
      <c r="A4" s="109"/>
      <c r="B4" s="109"/>
      <c r="C4" s="109" t="s">
        <v>47</v>
      </c>
      <c r="D4" s="109" t="s">
        <v>47</v>
      </c>
      <c r="E4" s="109" t="s">
        <v>47</v>
      </c>
      <c r="F4" s="109" t="s">
        <v>47</v>
      </c>
      <c r="G4" s="109" t="s">
        <v>47</v>
      </c>
      <c r="H4" s="109" t="s">
        <v>47</v>
      </c>
      <c r="I4" s="109" t="s">
        <v>47</v>
      </c>
      <c r="J4" s="109" t="s">
        <v>47</v>
      </c>
      <c r="K4" s="109" t="s">
        <v>47</v>
      </c>
      <c r="L4" s="109" t="s">
        <v>47</v>
      </c>
      <c r="M4" s="109" t="s">
        <v>47</v>
      </c>
      <c r="N4" s="109" t="s">
        <v>47</v>
      </c>
      <c r="O4" s="109" t="s">
        <v>47</v>
      </c>
      <c r="P4" s="109"/>
      <c r="Q4" s="109" t="s">
        <v>47</v>
      </c>
      <c r="R4" s="109" t="s">
        <v>47</v>
      </c>
      <c r="S4" s="109" t="s">
        <v>47</v>
      </c>
      <c r="T4" s="109" t="s">
        <v>47</v>
      </c>
      <c r="U4" s="109" t="s">
        <v>47</v>
      </c>
      <c r="V4" s="109" t="s">
        <v>47</v>
      </c>
      <c r="W4" s="109" t="s">
        <v>47</v>
      </c>
      <c r="X4" s="109" t="s">
        <v>47</v>
      </c>
      <c r="Y4" s="109" t="s">
        <v>47</v>
      </c>
      <c r="Z4" s="109" t="s">
        <v>47</v>
      </c>
      <c r="AA4" s="109" t="s">
        <v>47</v>
      </c>
      <c r="AB4" s="109" t="s">
        <v>47</v>
      </c>
      <c r="AC4" s="109" t="s">
        <v>47</v>
      </c>
      <c r="AD4" s="109" t="s">
        <v>47</v>
      </c>
      <c r="AE4" s="62"/>
      <c r="AF4" s="62"/>
      <c r="AG4" s="62"/>
      <c r="AH4" s="62"/>
      <c r="AI4" s="62"/>
      <c r="AJ4" s="62"/>
      <c r="AK4" s="62"/>
      <c r="AL4" s="56"/>
      <c r="AM4" s="56"/>
      <c r="AN4" s="56"/>
      <c r="AO4" s="56"/>
      <c r="AP4" s="56"/>
      <c r="AQ4" s="56"/>
      <c r="AR4" s="56"/>
      <c r="AS4" s="56"/>
      <c r="AT4" s="56"/>
      <c r="AU4" s="56"/>
    </row>
    <row r="5" spans="1:47" s="57" customFormat="1" ht="15" x14ac:dyDescent="0.25">
      <c r="A5" s="109"/>
      <c r="B5" s="109"/>
      <c r="C5" s="109" t="s">
        <v>48</v>
      </c>
      <c r="D5" s="109" t="s">
        <v>48</v>
      </c>
      <c r="E5" s="109" t="s">
        <v>48</v>
      </c>
      <c r="F5" s="109" t="s">
        <v>48</v>
      </c>
      <c r="G5" s="109" t="s">
        <v>48</v>
      </c>
      <c r="H5" s="109" t="s">
        <v>48</v>
      </c>
      <c r="I5" s="109" t="s">
        <v>48</v>
      </c>
      <c r="J5" s="109" t="s">
        <v>48</v>
      </c>
      <c r="K5" s="109" t="s">
        <v>48</v>
      </c>
      <c r="L5" s="109" t="s">
        <v>48</v>
      </c>
      <c r="M5" s="109" t="s">
        <v>48</v>
      </c>
      <c r="N5" s="109" t="s">
        <v>48</v>
      </c>
      <c r="O5" s="109" t="s">
        <v>48</v>
      </c>
      <c r="P5" s="109"/>
      <c r="Q5" s="109" t="s">
        <v>49</v>
      </c>
      <c r="R5" s="109" t="s">
        <v>49</v>
      </c>
      <c r="S5" s="109" t="s">
        <v>49</v>
      </c>
      <c r="T5" s="109" t="s">
        <v>49</v>
      </c>
      <c r="U5" s="109" t="s">
        <v>49</v>
      </c>
      <c r="V5" s="109" t="s">
        <v>49</v>
      </c>
      <c r="W5" s="109" t="s">
        <v>49</v>
      </c>
      <c r="X5" s="109" t="s">
        <v>49</v>
      </c>
      <c r="Y5" s="109" t="s">
        <v>49</v>
      </c>
      <c r="Z5" s="109" t="s">
        <v>49</v>
      </c>
      <c r="AA5" s="109" t="s">
        <v>49</v>
      </c>
      <c r="AB5" s="109" t="s">
        <v>49</v>
      </c>
      <c r="AC5" s="109" t="s">
        <v>49</v>
      </c>
      <c r="AD5" s="109" t="s">
        <v>49</v>
      </c>
      <c r="AE5" s="62"/>
      <c r="AF5" s="62"/>
      <c r="AG5" s="62"/>
      <c r="AH5" s="62"/>
      <c r="AI5" s="62"/>
      <c r="AJ5" s="62"/>
      <c r="AK5" s="62"/>
      <c r="AL5" s="56"/>
      <c r="AM5" s="56"/>
      <c r="AN5" s="56"/>
      <c r="AO5" s="56"/>
      <c r="AP5" s="56"/>
      <c r="AQ5" s="56"/>
      <c r="AR5" s="56"/>
      <c r="AS5" s="56"/>
      <c r="AT5" s="56"/>
      <c r="AU5" s="56"/>
    </row>
    <row r="6" spans="1:47" s="67" customFormat="1" ht="15" x14ac:dyDescent="0.25">
      <c r="A6" s="109"/>
      <c r="B6" s="109"/>
      <c r="C6" s="109" t="s">
        <v>52</v>
      </c>
      <c r="D6" s="109" t="s">
        <v>96</v>
      </c>
      <c r="E6" s="109" t="s">
        <v>112</v>
      </c>
      <c r="F6" s="109" t="s">
        <v>111</v>
      </c>
      <c r="G6" s="109" t="s">
        <v>110</v>
      </c>
      <c r="H6" s="109" t="s">
        <v>109</v>
      </c>
      <c r="I6" s="109" t="s">
        <v>108</v>
      </c>
      <c r="J6" s="109" t="s">
        <v>107</v>
      </c>
      <c r="K6" s="109" t="s">
        <v>106</v>
      </c>
      <c r="L6" s="109" t="s">
        <v>105</v>
      </c>
      <c r="M6" s="109" t="s">
        <v>50</v>
      </c>
      <c r="N6" s="109" t="s">
        <v>51</v>
      </c>
      <c r="O6" s="109" t="s">
        <v>52</v>
      </c>
      <c r="P6" s="109"/>
      <c r="Q6" s="109" t="s">
        <v>52</v>
      </c>
      <c r="R6" s="109" t="s">
        <v>96</v>
      </c>
      <c r="S6" s="109" t="s">
        <v>112</v>
      </c>
      <c r="T6" s="109" t="s">
        <v>111</v>
      </c>
      <c r="U6" s="109" t="s">
        <v>110</v>
      </c>
      <c r="V6" s="109" t="s">
        <v>109</v>
      </c>
      <c r="W6" s="109" t="s">
        <v>108</v>
      </c>
      <c r="X6" s="109" t="s">
        <v>107</v>
      </c>
      <c r="Y6" s="109" t="s">
        <v>106</v>
      </c>
      <c r="Z6" s="109" t="s">
        <v>105</v>
      </c>
      <c r="AA6" s="109" t="s">
        <v>50</v>
      </c>
      <c r="AB6" s="109" t="s">
        <v>51</v>
      </c>
      <c r="AC6" s="109" t="s">
        <v>52</v>
      </c>
      <c r="AD6" s="109" t="s">
        <v>96</v>
      </c>
      <c r="AE6" s="66"/>
      <c r="AF6" s="66"/>
      <c r="AG6" s="66"/>
      <c r="AH6" s="66"/>
      <c r="AI6" s="66"/>
      <c r="AJ6" s="66"/>
      <c r="AK6" s="66"/>
      <c r="AL6" s="65"/>
      <c r="AM6" s="65"/>
      <c r="AN6" s="65"/>
      <c r="AO6" s="65"/>
      <c r="AP6" s="65"/>
      <c r="AQ6" s="65"/>
      <c r="AR6" s="65"/>
      <c r="AS6" s="65"/>
      <c r="AT6" s="65"/>
      <c r="AU6" s="65"/>
    </row>
    <row r="7" spans="1:47" s="57" customFormat="1" ht="15" x14ac:dyDescent="0.25">
      <c r="A7" s="109"/>
      <c r="B7" s="109"/>
      <c r="C7" s="109" t="s">
        <v>53</v>
      </c>
      <c r="D7" s="109" t="s">
        <v>53</v>
      </c>
      <c r="E7" s="109" t="s">
        <v>53</v>
      </c>
      <c r="F7" s="109" t="s">
        <v>53</v>
      </c>
      <c r="G7" s="109" t="s">
        <v>53</v>
      </c>
      <c r="H7" s="109" t="s">
        <v>53</v>
      </c>
      <c r="I7" s="109" t="s">
        <v>53</v>
      </c>
      <c r="J7" s="109" t="s">
        <v>53</v>
      </c>
      <c r="K7" s="109" t="s">
        <v>53</v>
      </c>
      <c r="L7" s="109" t="s">
        <v>53</v>
      </c>
      <c r="M7" s="109" t="s">
        <v>53</v>
      </c>
      <c r="N7" s="109" t="s">
        <v>53</v>
      </c>
      <c r="O7" s="109" t="s">
        <v>53</v>
      </c>
      <c r="P7" s="109"/>
      <c r="Q7" s="109" t="s">
        <v>53</v>
      </c>
      <c r="R7" s="109" t="s">
        <v>53</v>
      </c>
      <c r="S7" s="109" t="s">
        <v>53</v>
      </c>
      <c r="T7" s="109" t="s">
        <v>53</v>
      </c>
      <c r="U7" s="109" t="s">
        <v>53</v>
      </c>
      <c r="V7" s="109" t="s">
        <v>53</v>
      </c>
      <c r="W7" s="109" t="s">
        <v>53</v>
      </c>
      <c r="X7" s="109" t="s">
        <v>53</v>
      </c>
      <c r="Y7" s="109" t="s">
        <v>53</v>
      </c>
      <c r="Z7" s="109" t="s">
        <v>53</v>
      </c>
      <c r="AA7" s="109" t="s">
        <v>53</v>
      </c>
      <c r="AB7" s="109" t="s">
        <v>53</v>
      </c>
      <c r="AC7" s="109" t="s">
        <v>53</v>
      </c>
      <c r="AD7" s="109" t="s">
        <v>53</v>
      </c>
      <c r="AE7" s="70"/>
      <c r="AF7" s="70"/>
      <c r="AG7" s="70"/>
      <c r="AH7" s="70"/>
      <c r="AI7" s="70"/>
      <c r="AJ7" s="70"/>
      <c r="AK7" s="70"/>
      <c r="AL7" s="68"/>
      <c r="AM7" s="68"/>
      <c r="AN7" s="68"/>
      <c r="AO7" s="68"/>
      <c r="AP7" s="68"/>
      <c r="AQ7" s="68"/>
      <c r="AR7" s="56"/>
      <c r="AS7" s="56"/>
      <c r="AT7" s="56"/>
      <c r="AU7" s="56"/>
    </row>
    <row r="8" spans="1:47" s="68" customFormat="1" ht="15" x14ac:dyDescent="0.25">
      <c r="A8" s="108" t="s">
        <v>98</v>
      </c>
      <c r="B8" s="107" t="s">
        <v>54</v>
      </c>
      <c r="C8" s="55">
        <v>36448.759000000049</v>
      </c>
      <c r="D8" s="55">
        <v>134775.10700000011</v>
      </c>
      <c r="E8" s="55">
        <v>88999.286000000095</v>
      </c>
      <c r="F8" s="55">
        <v>80697.710000000094</v>
      </c>
      <c r="G8" s="55">
        <v>87934.692000000097</v>
      </c>
      <c r="H8" s="55">
        <v>73131.220000000088</v>
      </c>
      <c r="I8" s="55">
        <v>120065.31600000008</v>
      </c>
      <c r="J8" s="55">
        <v>109019.99900000007</v>
      </c>
      <c r="K8" s="55">
        <v>135565.21900000007</v>
      </c>
      <c r="L8" s="55">
        <v>141915.53900000008</v>
      </c>
      <c r="M8" s="55">
        <v>383468.05300000007</v>
      </c>
      <c r="N8" s="55">
        <v>152290.97600000002</v>
      </c>
      <c r="O8" s="55">
        <v>144628.73100000003</v>
      </c>
      <c r="P8" s="107"/>
      <c r="Q8" s="107">
        <v>8.3467599999999926</v>
      </c>
      <c r="R8" s="107">
        <v>30.540040000000012</v>
      </c>
      <c r="S8" s="107">
        <v>20.478780000000011</v>
      </c>
      <c r="T8" s="107">
        <v>18.068210000000011</v>
      </c>
      <c r="U8" s="107">
        <v>19.178570000000011</v>
      </c>
      <c r="V8" s="107">
        <v>15.547710000000011</v>
      </c>
      <c r="W8" s="107">
        <v>25.093650000000011</v>
      </c>
      <c r="X8" s="107">
        <v>22.817880000000009</v>
      </c>
      <c r="Y8" s="107">
        <v>28.780490000000011</v>
      </c>
      <c r="Z8" s="107">
        <v>29.731300000000012</v>
      </c>
      <c r="AA8" s="107">
        <v>84.669750000000022</v>
      </c>
      <c r="AB8" s="107">
        <v>35.544700000000006</v>
      </c>
      <c r="AC8" s="107">
        <v>33.365850000000009</v>
      </c>
      <c r="AD8" s="107">
        <v>27.311149999999952</v>
      </c>
      <c r="AE8" s="83"/>
      <c r="AF8" s="83"/>
      <c r="AG8" s="83"/>
      <c r="AH8" s="83"/>
      <c r="AI8" s="83"/>
      <c r="AJ8" s="83"/>
      <c r="AK8" s="83"/>
    </row>
    <row r="9" spans="1:47" s="85" customFormat="1" ht="15" x14ac:dyDescent="0.25">
      <c r="A9" s="108" t="s">
        <v>99</v>
      </c>
      <c r="B9" s="107" t="s">
        <v>55</v>
      </c>
      <c r="C9" s="55">
        <v>13463323.142999999</v>
      </c>
      <c r="D9" s="55">
        <v>13257225.522000004</v>
      </c>
      <c r="E9" s="55">
        <v>10942966.093000002</v>
      </c>
      <c r="F9" s="55">
        <v>10746381.629000003</v>
      </c>
      <c r="G9" s="55">
        <v>10710375.371000003</v>
      </c>
      <c r="H9" s="55">
        <v>10851017.714000003</v>
      </c>
      <c r="I9" s="55">
        <v>10093815.426000003</v>
      </c>
      <c r="J9" s="55">
        <v>11767166.114000002</v>
      </c>
      <c r="K9" s="55">
        <v>11339465.071000002</v>
      </c>
      <c r="L9" s="55">
        <v>10068075.695000002</v>
      </c>
      <c r="M9" s="55">
        <v>9045581.6410000026</v>
      </c>
      <c r="N9" s="55">
        <v>12423160.691000002</v>
      </c>
      <c r="O9" s="55">
        <v>13484167.965000002</v>
      </c>
      <c r="P9" s="107"/>
      <c r="Q9" s="107">
        <v>3083.1010099999994</v>
      </c>
      <c r="R9" s="107">
        <v>3004.0873000000006</v>
      </c>
      <c r="S9" s="107">
        <v>2517.9764700000005</v>
      </c>
      <c r="T9" s="107">
        <v>2406.1148300000004</v>
      </c>
      <c r="U9" s="107">
        <v>2335.9328500000006</v>
      </c>
      <c r="V9" s="107">
        <v>2306.9263800000008</v>
      </c>
      <c r="W9" s="107">
        <v>2109.6074200000007</v>
      </c>
      <c r="X9" s="107">
        <v>2462.8678800000007</v>
      </c>
      <c r="Y9" s="107">
        <v>2407.3684500000008</v>
      </c>
      <c r="Z9" s="107">
        <v>2109.261860000001</v>
      </c>
      <c r="AA9" s="107">
        <v>1997.2644400000008</v>
      </c>
      <c r="AB9" s="107">
        <v>2899.5656900000008</v>
      </c>
      <c r="AC9" s="107">
        <v>3110.7975300000007</v>
      </c>
      <c r="AD9" s="107">
        <v>2603.1554000000006</v>
      </c>
      <c r="AE9" s="84"/>
      <c r="AF9" s="84"/>
      <c r="AG9" s="84"/>
      <c r="AH9" s="84"/>
      <c r="AI9" s="84"/>
      <c r="AJ9" s="84"/>
      <c r="AK9" s="84"/>
    </row>
    <row r="10" spans="1:47" s="85" customFormat="1" ht="15" x14ac:dyDescent="0.25">
      <c r="A10" s="108" t="s">
        <v>100</v>
      </c>
      <c r="B10" s="107" t="s">
        <v>56</v>
      </c>
      <c r="C10" s="55">
        <v>0</v>
      </c>
      <c r="D10" s="55">
        <v>-2.9103830456733704E-11</v>
      </c>
      <c r="E10" s="55">
        <v>-141171.45400000003</v>
      </c>
      <c r="F10" s="55">
        <v>-141171.45400000003</v>
      </c>
      <c r="G10" s="55">
        <v>-141171.45400000003</v>
      </c>
      <c r="H10" s="55">
        <v>163132.52000000002</v>
      </c>
      <c r="I10" s="55">
        <v>-196267.8</v>
      </c>
      <c r="J10" s="55">
        <v>-166267.79999999999</v>
      </c>
      <c r="K10" s="55">
        <v>-166267.79999999999</v>
      </c>
      <c r="L10" s="55">
        <v>-166267.79999999999</v>
      </c>
      <c r="M10" s="55">
        <v>-166267.79999999999</v>
      </c>
      <c r="N10" s="55">
        <v>-166267.79999999999</v>
      </c>
      <c r="O10" s="55">
        <v>-166267.79999999999</v>
      </c>
      <c r="P10" s="107"/>
      <c r="Q10" s="107">
        <v>0</v>
      </c>
      <c r="R10" s="107">
        <v>0</v>
      </c>
      <c r="S10" s="107">
        <v>-32.483550000000022</v>
      </c>
      <c r="T10" s="107">
        <v>-31.608290000000022</v>
      </c>
      <c r="U10" s="107">
        <v>-30.789490000000022</v>
      </c>
      <c r="V10" s="107">
        <v>34.681979999999989</v>
      </c>
      <c r="W10" s="107">
        <v>-41.019970000000008</v>
      </c>
      <c r="X10" s="107">
        <v>-34.799850000000006</v>
      </c>
      <c r="Y10" s="107">
        <v>-35.298650000000009</v>
      </c>
      <c r="Z10" s="107">
        <v>-34.833100000000009</v>
      </c>
      <c r="AA10" s="107">
        <v>-36.711930000000009</v>
      </c>
      <c r="AB10" s="107">
        <v>-38.806900000000006</v>
      </c>
      <c r="AC10" s="107">
        <v>-38.357980000000005</v>
      </c>
      <c r="AD10" s="107">
        <v>-41.963159999999988</v>
      </c>
      <c r="AE10" s="84"/>
      <c r="AF10" s="84"/>
      <c r="AG10" s="84"/>
      <c r="AH10" s="84"/>
      <c r="AI10" s="84"/>
      <c r="AJ10" s="84"/>
      <c r="AK10" s="84"/>
    </row>
    <row r="11" spans="1:47" s="85" customFormat="1" ht="15" x14ac:dyDescent="0.25">
      <c r="A11" s="108" t="s">
        <v>101</v>
      </c>
      <c r="B11" s="107" t="s">
        <v>57</v>
      </c>
      <c r="C11" s="55">
        <v>-30769.68</v>
      </c>
      <c r="D11" s="55">
        <v>-25871.803000000011</v>
      </c>
      <c r="E11" s="55">
        <v>-15238.097000000011</v>
      </c>
      <c r="F11" s="55">
        <v>-20346.46100000001</v>
      </c>
      <c r="G11" s="55">
        <v>-55326.922000000006</v>
      </c>
      <c r="H11" s="55">
        <v>-27388.386000000006</v>
      </c>
      <c r="I11" s="55">
        <v>-15042.919000000005</v>
      </c>
      <c r="J11" s="55">
        <v>-31623.263000000006</v>
      </c>
      <c r="K11" s="55">
        <v>-33753.169000000009</v>
      </c>
      <c r="L11" s="55">
        <v>-41959.579000000012</v>
      </c>
      <c r="M11" s="55">
        <v>-20862.497000000007</v>
      </c>
      <c r="N11" s="55">
        <v>-8214.3780000000061</v>
      </c>
      <c r="O11" s="55">
        <v>-7895.1740000000063</v>
      </c>
      <c r="P11" s="107"/>
      <c r="Q11" s="107">
        <v>-7.0462499999999997</v>
      </c>
      <c r="R11" s="107">
        <v>-5.862540000000001</v>
      </c>
      <c r="S11" s="107">
        <v>-3.5062800000000012</v>
      </c>
      <c r="T11" s="107">
        <v>-4.5555900000000014</v>
      </c>
      <c r="U11" s="107">
        <v>-12.066800000000002</v>
      </c>
      <c r="V11" s="107">
        <v>-5.8227800000000016</v>
      </c>
      <c r="W11" s="107">
        <v>-3.1439800000000004</v>
      </c>
      <c r="X11" s="107">
        <v>-6.6187400000000007</v>
      </c>
      <c r="Y11" s="107">
        <v>-7.1658000000000008</v>
      </c>
      <c r="Z11" s="107">
        <v>-8.7905300000000004</v>
      </c>
      <c r="AA11" s="107">
        <v>-4.606440000000001</v>
      </c>
      <c r="AB11" s="107">
        <v>-1.9172300000000007</v>
      </c>
      <c r="AC11" s="107">
        <v>-1.8214200000000007</v>
      </c>
      <c r="AD11" s="107">
        <v>-5.7386900000000072</v>
      </c>
      <c r="AE11" s="84"/>
      <c r="AF11" s="84"/>
      <c r="AG11" s="84"/>
      <c r="AH11" s="84"/>
      <c r="AI11" s="84"/>
      <c r="AJ11" s="84"/>
      <c r="AK11" s="84"/>
    </row>
    <row r="12" spans="1:47" s="85" customFormat="1" ht="15" x14ac:dyDescent="0.25">
      <c r="A12" s="108" t="s">
        <v>102</v>
      </c>
      <c r="B12" s="107" t="s">
        <v>58</v>
      </c>
      <c r="C12" s="55">
        <v>4930314.0479999995</v>
      </c>
      <c r="D12" s="55">
        <v>4556791.1220000004</v>
      </c>
      <c r="E12" s="55">
        <v>5557202.5100000007</v>
      </c>
      <c r="F12" s="55">
        <v>4801296.9590000007</v>
      </c>
      <c r="G12" s="55">
        <v>4819841.1630000006</v>
      </c>
      <c r="H12" s="55">
        <v>5005696.3270000005</v>
      </c>
      <c r="I12" s="55">
        <v>4985210.0090000005</v>
      </c>
      <c r="J12" s="55">
        <v>5014814.4310000008</v>
      </c>
      <c r="K12" s="55">
        <v>4942146.3080000011</v>
      </c>
      <c r="L12" s="55">
        <v>5455379.046000001</v>
      </c>
      <c r="M12" s="55">
        <v>5266346.9590000007</v>
      </c>
      <c r="N12" s="55">
        <v>5558645.995000001</v>
      </c>
      <c r="O12" s="55">
        <v>5534157.1300000008</v>
      </c>
      <c r="P12" s="107"/>
      <c r="Q12" s="107">
        <v>1129.0419100000001</v>
      </c>
      <c r="R12" s="107">
        <v>1032.5688600000001</v>
      </c>
      <c r="S12" s="107">
        <v>1278.7123000000001</v>
      </c>
      <c r="T12" s="107">
        <v>1075.0103900000001</v>
      </c>
      <c r="U12" s="107">
        <v>1051.2073500000001</v>
      </c>
      <c r="V12" s="107">
        <v>1064.2110300000002</v>
      </c>
      <c r="W12" s="107">
        <v>1041.9089000000001</v>
      </c>
      <c r="X12" s="107">
        <v>1049.6006600000001</v>
      </c>
      <c r="Y12" s="107">
        <v>1049.21767</v>
      </c>
      <c r="Z12" s="107">
        <v>1142.90191</v>
      </c>
      <c r="AA12" s="107">
        <v>1162.8094000000001</v>
      </c>
      <c r="AB12" s="107">
        <v>1297.3879700000002</v>
      </c>
      <c r="AC12" s="107">
        <v>1276.7300400000001</v>
      </c>
      <c r="AD12" s="107">
        <v>1131.7460000000001</v>
      </c>
      <c r="AE12" s="84"/>
      <c r="AF12" s="84"/>
      <c r="AG12" s="84"/>
      <c r="AH12" s="84"/>
      <c r="AI12" s="84"/>
      <c r="AJ12" s="84"/>
      <c r="AK12" s="84"/>
    </row>
    <row r="13" spans="1:47" s="85" customFormat="1" ht="15" x14ac:dyDescent="0.25">
      <c r="A13" s="108" t="s">
        <v>103</v>
      </c>
      <c r="B13" s="107" t="s">
        <v>59</v>
      </c>
      <c r="C13" s="55">
        <v>0</v>
      </c>
      <c r="D13" s="55">
        <v>0</v>
      </c>
      <c r="E13" s="55">
        <v>0</v>
      </c>
      <c r="F13" s="55">
        <v>0</v>
      </c>
      <c r="G13" s="55">
        <v>0</v>
      </c>
      <c r="H13" s="55">
        <v>0</v>
      </c>
      <c r="I13" s="55">
        <v>0</v>
      </c>
      <c r="J13" s="55">
        <v>0</v>
      </c>
      <c r="K13" s="55">
        <v>0</v>
      </c>
      <c r="L13" s="55">
        <v>0</v>
      </c>
      <c r="M13" s="55">
        <v>0</v>
      </c>
      <c r="N13" s="55">
        <v>0</v>
      </c>
      <c r="O13" s="55">
        <v>0</v>
      </c>
      <c r="P13" s="107"/>
      <c r="Q13" s="107">
        <v>0</v>
      </c>
      <c r="R13" s="107">
        <v>0</v>
      </c>
      <c r="S13" s="107">
        <v>0</v>
      </c>
      <c r="T13" s="107">
        <v>0</v>
      </c>
      <c r="U13" s="107">
        <v>0</v>
      </c>
      <c r="V13" s="107">
        <v>0</v>
      </c>
      <c r="W13" s="107">
        <v>0</v>
      </c>
      <c r="X13" s="107">
        <v>0</v>
      </c>
      <c r="Y13" s="107">
        <v>0</v>
      </c>
      <c r="Z13" s="107">
        <v>0</v>
      </c>
      <c r="AA13" s="107">
        <v>0</v>
      </c>
      <c r="AB13" s="107">
        <v>0</v>
      </c>
      <c r="AC13" s="107">
        <v>0</v>
      </c>
      <c r="AD13" s="107">
        <v>0</v>
      </c>
      <c r="AE13" s="84"/>
      <c r="AF13" s="84"/>
      <c r="AG13" s="84"/>
      <c r="AH13" s="84"/>
      <c r="AI13" s="84"/>
      <c r="AJ13" s="84"/>
      <c r="AK13" s="84"/>
    </row>
    <row r="14" spans="1:47" s="85" customFormat="1" ht="15" x14ac:dyDescent="0.25">
      <c r="A14" s="108" t="s">
        <v>104</v>
      </c>
      <c r="B14" s="107" t="s">
        <v>60</v>
      </c>
      <c r="C14" s="55">
        <v>0</v>
      </c>
      <c r="D14" s="55">
        <v>0</v>
      </c>
      <c r="E14" s="55">
        <v>0</v>
      </c>
      <c r="F14" s="55">
        <v>0</v>
      </c>
      <c r="G14" s="55">
        <v>0</v>
      </c>
      <c r="H14" s="55">
        <v>0</v>
      </c>
      <c r="I14" s="55">
        <v>0</v>
      </c>
      <c r="J14" s="55">
        <v>0</v>
      </c>
      <c r="K14" s="55">
        <v>0</v>
      </c>
      <c r="L14" s="55">
        <v>0</v>
      </c>
      <c r="M14" s="55">
        <v>0</v>
      </c>
      <c r="N14" s="55">
        <v>0</v>
      </c>
      <c r="O14" s="55">
        <v>0</v>
      </c>
      <c r="P14" s="107"/>
      <c r="Q14" s="107">
        <v>0</v>
      </c>
      <c r="R14" s="107">
        <v>0</v>
      </c>
      <c r="S14" s="107">
        <v>0</v>
      </c>
      <c r="T14" s="107">
        <v>0</v>
      </c>
      <c r="U14" s="107">
        <v>0</v>
      </c>
      <c r="V14" s="107">
        <v>0</v>
      </c>
      <c r="W14" s="107">
        <v>0</v>
      </c>
      <c r="X14" s="107">
        <v>0</v>
      </c>
      <c r="Y14" s="107">
        <v>0</v>
      </c>
      <c r="Z14" s="107">
        <v>0</v>
      </c>
      <c r="AA14" s="107">
        <v>0</v>
      </c>
      <c r="AB14" s="107">
        <v>0</v>
      </c>
      <c r="AC14" s="107">
        <v>0</v>
      </c>
      <c r="AD14" s="107">
        <v>0</v>
      </c>
      <c r="AE14" s="84"/>
      <c r="AF14" s="84"/>
      <c r="AG14" s="84"/>
      <c r="AH14" s="84"/>
      <c r="AI14" s="84"/>
      <c r="AJ14" s="84"/>
      <c r="AK14" s="84"/>
    </row>
    <row r="15" spans="1:47" s="87" customFormat="1" ht="15" x14ac:dyDescent="0.25">
      <c r="A15" s="110" t="s">
        <v>61</v>
      </c>
      <c r="B15" s="109" t="s">
        <v>62</v>
      </c>
      <c r="C15" s="114">
        <f>SUM(C9:C14)</f>
        <v>18362867.511</v>
      </c>
      <c r="D15" s="111">
        <f t="shared" ref="D15:O15" si="0">SUM(D9:D14)</f>
        <v>17788144.841000006</v>
      </c>
      <c r="E15" s="111">
        <f t="shared" si="0"/>
        <v>16343759.052000005</v>
      </c>
      <c r="F15" s="111">
        <f t="shared" si="0"/>
        <v>15386160.673000004</v>
      </c>
      <c r="G15" s="111">
        <f t="shared" si="0"/>
        <v>15333718.158000004</v>
      </c>
      <c r="H15" s="111">
        <f t="shared" si="0"/>
        <v>15992458.175000004</v>
      </c>
      <c r="I15" s="111">
        <f t="shared" si="0"/>
        <v>14867714.716000002</v>
      </c>
      <c r="J15" s="111">
        <f t="shared" si="0"/>
        <v>16584089.482000001</v>
      </c>
      <c r="K15" s="111">
        <f t="shared" si="0"/>
        <v>16081590.410000004</v>
      </c>
      <c r="L15" s="111">
        <f t="shared" si="0"/>
        <v>15315227.362000003</v>
      </c>
      <c r="M15" s="111">
        <f t="shared" si="0"/>
        <v>14124798.303000003</v>
      </c>
      <c r="N15" s="111">
        <f t="shared" si="0"/>
        <v>17807324.508000001</v>
      </c>
      <c r="O15" s="111">
        <f t="shared" si="0"/>
        <v>18844162.120999999</v>
      </c>
      <c r="P15" s="109"/>
      <c r="Q15" s="114">
        <v>4205.0966699999999</v>
      </c>
      <c r="R15" s="112">
        <v>4030.7936200000004</v>
      </c>
      <c r="S15" s="112">
        <v>3760.6989400000007</v>
      </c>
      <c r="T15" s="112">
        <v>3444.9613400000007</v>
      </c>
      <c r="U15" s="112">
        <v>3344.2839100000006</v>
      </c>
      <c r="V15" s="112">
        <v>3399.9966100000011</v>
      </c>
      <c r="W15" s="112">
        <v>3107.3523700000014</v>
      </c>
      <c r="X15" s="112">
        <v>3471.049950000001</v>
      </c>
      <c r="Y15" s="112">
        <v>3414.1216700000004</v>
      </c>
      <c r="Z15" s="112">
        <v>3208.540140000001</v>
      </c>
      <c r="AA15" s="112">
        <v>3118.755470000001</v>
      </c>
      <c r="AB15" s="112">
        <v>4156.2295300000005</v>
      </c>
      <c r="AC15" s="112">
        <v>4347.3481700000002</v>
      </c>
      <c r="AD15" s="112">
        <v>3687.1995500000007</v>
      </c>
      <c r="AE15" s="86"/>
      <c r="AF15" s="86"/>
      <c r="AG15" s="86"/>
      <c r="AH15" s="86"/>
      <c r="AI15" s="86"/>
      <c r="AJ15" s="86"/>
      <c r="AK15" s="86"/>
    </row>
    <row r="16" spans="1:47" ht="15" x14ac:dyDescent="0.25">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82"/>
      <c r="AF16" s="82"/>
      <c r="AG16" s="82"/>
      <c r="AH16" s="82"/>
      <c r="AI16" s="82"/>
      <c r="AJ16" s="82"/>
      <c r="AK16" s="82"/>
    </row>
    <row r="17" spans="1:43" ht="15" x14ac:dyDescent="0.25">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76"/>
      <c r="AF17" s="76"/>
      <c r="AG17" s="76"/>
      <c r="AH17" s="76"/>
      <c r="AI17" s="76"/>
      <c r="AJ17" s="76"/>
      <c r="AK17" s="76"/>
      <c r="AL17" s="76"/>
      <c r="AM17" s="76"/>
      <c r="AN17" s="76"/>
      <c r="AO17" s="76"/>
      <c r="AP17" s="76"/>
      <c r="AQ17" s="76"/>
    </row>
    <row r="18" spans="1:43" ht="15" x14ac:dyDescent="0.25">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76"/>
      <c r="AF18" s="76"/>
      <c r="AG18" s="76"/>
      <c r="AH18" s="76"/>
      <c r="AI18" s="76"/>
      <c r="AJ18" s="76"/>
      <c r="AK18" s="76"/>
      <c r="AL18" s="76"/>
      <c r="AM18" s="76"/>
      <c r="AN18" s="76"/>
      <c r="AO18" s="76"/>
      <c r="AP18" s="76"/>
      <c r="AQ18" s="76"/>
    </row>
    <row r="19" spans="1:43" ht="15" x14ac:dyDescent="0.25">
      <c r="A19" s="107"/>
      <c r="B19" s="107"/>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76"/>
      <c r="AF19" s="76"/>
      <c r="AG19" s="76"/>
      <c r="AH19" s="76"/>
      <c r="AI19" s="76"/>
      <c r="AJ19" s="76"/>
      <c r="AK19" s="76"/>
      <c r="AL19" s="76"/>
      <c r="AM19" s="76"/>
      <c r="AN19" s="76"/>
      <c r="AO19" s="76"/>
      <c r="AP19" s="76"/>
      <c r="AQ19" s="76"/>
    </row>
    <row r="20" spans="1:43" ht="15" x14ac:dyDescent="0.25">
      <c r="A20" s="107"/>
      <c r="B20" s="107"/>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76"/>
      <c r="AF20" s="76"/>
      <c r="AG20" s="76"/>
      <c r="AH20" s="76"/>
      <c r="AI20" s="76"/>
      <c r="AJ20" s="76"/>
      <c r="AK20" s="76"/>
      <c r="AL20" s="76"/>
      <c r="AM20" s="76"/>
      <c r="AN20" s="76"/>
      <c r="AO20" s="76"/>
      <c r="AP20" s="76"/>
      <c r="AQ20" s="76"/>
    </row>
    <row r="21" spans="1:43" ht="15" x14ac:dyDescent="0.25">
      <c r="A21" s="107"/>
      <c r="B21" s="107"/>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row>
    <row r="22" spans="1:43" ht="15" x14ac:dyDescent="0.25">
      <c r="A22" s="107"/>
      <c r="B22" s="107"/>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AF27"/>
  <sheetViews>
    <sheetView workbookViewId="0">
      <pane xSplit="3" ySplit="7" topLeftCell="M8" activePane="bottomRight" state="frozen"/>
      <selection pane="topRight" activeCell="D1" sqref="D1"/>
      <selection pane="bottomLeft" activeCell="A8" sqref="A8"/>
      <selection pane="bottomRight" activeCell="Q24" sqref="Q24"/>
    </sheetView>
  </sheetViews>
  <sheetFormatPr baseColWidth="10" defaultColWidth="11.42578125" defaultRowHeight="15" x14ac:dyDescent="0.25"/>
  <cols>
    <col min="1" max="1" width="10.7109375" customWidth="1"/>
    <col min="2" max="2" width="34.7109375" customWidth="1"/>
    <col min="3" max="3" width="18.7109375" style="38" customWidth="1"/>
    <col min="4" max="4" width="16.5703125" style="38" customWidth="1"/>
    <col min="5" max="5" width="19.28515625" style="38" customWidth="1"/>
    <col min="6" max="6" width="16.28515625" style="38" customWidth="1"/>
    <col min="7" max="7" width="15" style="38" customWidth="1"/>
    <col min="8" max="8" width="13.42578125" style="38" customWidth="1"/>
    <col min="9" max="9" width="12.85546875" style="38" hidden="1" customWidth="1"/>
    <col min="10" max="10" width="33.42578125" style="38" hidden="1" customWidth="1"/>
    <col min="11" max="11" width="3.140625" style="38" customWidth="1"/>
    <col min="12" max="12" width="10.7109375" style="38" customWidth="1"/>
    <col min="13" max="13" width="15.7109375" style="38" customWidth="1"/>
    <col min="14" max="14" width="15.85546875" style="38" customWidth="1"/>
    <col min="15" max="15" width="13.28515625" style="38" customWidth="1"/>
    <col min="16" max="16" width="17" style="38" customWidth="1"/>
    <col min="17" max="17" width="19.42578125" style="38" customWidth="1"/>
    <col min="18" max="18" width="18.140625" style="38" customWidth="1"/>
    <col min="19" max="19" width="16.85546875" style="38" customWidth="1"/>
    <col min="20" max="20" width="13.42578125" style="38" hidden="1" customWidth="1"/>
    <col min="21" max="21" width="14.42578125" style="38" hidden="1" customWidth="1"/>
    <col min="22" max="22" width="16.5703125" style="38" hidden="1" customWidth="1"/>
    <col min="23" max="23" width="14" style="38" hidden="1" customWidth="1"/>
    <col min="24" max="24" width="13.85546875" style="38" hidden="1" customWidth="1"/>
    <col min="25" max="25" width="16.85546875" style="38" hidden="1" customWidth="1"/>
    <col min="26" max="26" width="13.42578125" style="38" hidden="1" customWidth="1"/>
    <col min="27" max="27" width="18.85546875" style="38" hidden="1" customWidth="1"/>
    <col min="28" max="28" width="33.140625" style="38" hidden="1" customWidth="1"/>
    <col min="29" max="29" width="13.5703125" style="38" hidden="1" customWidth="1"/>
    <col min="30" max="30" width="15.5703125" style="38" hidden="1" customWidth="1"/>
    <col min="31" max="31" width="18.5703125" style="38" hidden="1" customWidth="1"/>
    <col min="32" max="16384" width="11.42578125" style="38"/>
  </cols>
  <sheetData>
    <row r="1" spans="1:29" s="89" customFormat="1" x14ac:dyDescent="0.25">
      <c r="A1" s="109"/>
      <c r="B1" s="109"/>
      <c r="C1" s="109" t="s">
        <v>45</v>
      </c>
      <c r="D1" s="109" t="s">
        <v>45</v>
      </c>
      <c r="E1" s="109" t="s">
        <v>45</v>
      </c>
      <c r="F1" s="109" t="s">
        <v>45</v>
      </c>
      <c r="G1" s="109" t="s">
        <v>45</v>
      </c>
      <c r="H1" s="109" t="s">
        <v>45</v>
      </c>
      <c r="I1" s="109" t="s">
        <v>45</v>
      </c>
      <c r="J1" s="109" t="s">
        <v>45</v>
      </c>
      <c r="K1" s="109" t="s">
        <v>45</v>
      </c>
      <c r="L1" s="109" t="s">
        <v>45</v>
      </c>
      <c r="M1" s="109" t="s">
        <v>45</v>
      </c>
      <c r="N1" s="109" t="s">
        <v>45</v>
      </c>
      <c r="O1" s="109" t="s">
        <v>45</v>
      </c>
      <c r="P1" s="109"/>
      <c r="Q1" s="109" t="s">
        <v>45</v>
      </c>
      <c r="R1" s="109" t="s">
        <v>45</v>
      </c>
      <c r="S1" s="109" t="s">
        <v>45</v>
      </c>
      <c r="T1" s="109" t="s">
        <v>45</v>
      </c>
      <c r="U1" s="109" t="s">
        <v>45</v>
      </c>
      <c r="V1" s="109" t="s">
        <v>45</v>
      </c>
      <c r="W1" s="109" t="s">
        <v>45</v>
      </c>
      <c r="X1" s="109" t="s">
        <v>45</v>
      </c>
      <c r="Y1" s="109" t="s">
        <v>45</v>
      </c>
      <c r="Z1" s="109" t="s">
        <v>45</v>
      </c>
      <c r="AA1" s="109" t="s">
        <v>45</v>
      </c>
      <c r="AB1" s="109" t="s">
        <v>45</v>
      </c>
      <c r="AC1" s="109" t="s">
        <v>45</v>
      </c>
    </row>
    <row r="2" spans="1:29" s="89" customFormat="1" x14ac:dyDescent="0.25">
      <c r="A2" s="109"/>
      <c r="B2" s="109"/>
      <c r="C2" s="110" t="s">
        <v>113</v>
      </c>
      <c r="D2" s="110" t="s">
        <v>97</v>
      </c>
      <c r="E2" s="110" t="s">
        <v>97</v>
      </c>
      <c r="F2" s="110" t="s">
        <v>97</v>
      </c>
      <c r="G2" s="110" t="s">
        <v>97</v>
      </c>
      <c r="H2" s="110" t="s">
        <v>97</v>
      </c>
      <c r="I2" s="110" t="s">
        <v>97</v>
      </c>
      <c r="J2" s="110" t="s">
        <v>97</v>
      </c>
      <c r="K2" s="110" t="s">
        <v>97</v>
      </c>
      <c r="L2" s="110" t="s">
        <v>97</v>
      </c>
      <c r="M2" s="110" t="s">
        <v>97</v>
      </c>
      <c r="N2" s="110" t="s">
        <v>97</v>
      </c>
      <c r="O2" s="110" t="s">
        <v>97</v>
      </c>
      <c r="P2" s="109"/>
      <c r="Q2" s="110" t="s">
        <v>113</v>
      </c>
      <c r="R2" s="110" t="s">
        <v>97</v>
      </c>
      <c r="S2" s="110" t="s">
        <v>97</v>
      </c>
      <c r="T2" s="110" t="s">
        <v>97</v>
      </c>
      <c r="U2" s="110" t="s">
        <v>97</v>
      </c>
      <c r="V2" s="110" t="s">
        <v>97</v>
      </c>
      <c r="W2" s="110" t="s">
        <v>97</v>
      </c>
      <c r="X2" s="110" t="s">
        <v>97</v>
      </c>
      <c r="Y2" s="110" t="s">
        <v>97</v>
      </c>
      <c r="Z2" s="110" t="s">
        <v>97</v>
      </c>
      <c r="AA2" s="110" t="s">
        <v>97</v>
      </c>
      <c r="AB2" s="110" t="s">
        <v>97</v>
      </c>
      <c r="AC2" s="110" t="s">
        <v>97</v>
      </c>
    </row>
    <row r="3" spans="1:29" s="89" customFormat="1" x14ac:dyDescent="0.25">
      <c r="A3" s="109"/>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row>
    <row r="4" spans="1:29" s="89" customFormat="1" x14ac:dyDescent="0.25">
      <c r="A4" s="109"/>
      <c r="B4" s="109"/>
      <c r="C4" s="109" t="s">
        <v>63</v>
      </c>
      <c r="D4" s="109" t="s">
        <v>63</v>
      </c>
      <c r="E4" s="109" t="s">
        <v>63</v>
      </c>
      <c r="F4" s="109" t="s">
        <v>63</v>
      </c>
      <c r="G4" s="109" t="s">
        <v>63</v>
      </c>
      <c r="H4" s="109" t="s">
        <v>63</v>
      </c>
      <c r="I4" s="109" t="s">
        <v>63</v>
      </c>
      <c r="J4" s="109" t="s">
        <v>63</v>
      </c>
      <c r="K4" s="109" t="s">
        <v>63</v>
      </c>
      <c r="L4" s="109" t="s">
        <v>63</v>
      </c>
      <c r="M4" s="109" t="s">
        <v>63</v>
      </c>
      <c r="N4" s="109" t="s">
        <v>63</v>
      </c>
      <c r="O4" s="109" t="s">
        <v>63</v>
      </c>
      <c r="P4" s="109"/>
      <c r="Q4" s="109" t="s">
        <v>63</v>
      </c>
      <c r="R4" s="109" t="s">
        <v>63</v>
      </c>
      <c r="S4" s="109" t="s">
        <v>63</v>
      </c>
      <c r="T4" s="109" t="s">
        <v>63</v>
      </c>
      <c r="U4" s="109" t="s">
        <v>63</v>
      </c>
      <c r="V4" s="109" t="s">
        <v>63</v>
      </c>
      <c r="W4" s="109" t="s">
        <v>63</v>
      </c>
      <c r="X4" s="109" t="s">
        <v>63</v>
      </c>
      <c r="Y4" s="109" t="s">
        <v>63</v>
      </c>
      <c r="Z4" s="109" t="s">
        <v>63</v>
      </c>
      <c r="AA4" s="109" t="s">
        <v>63</v>
      </c>
      <c r="AB4" s="109" t="s">
        <v>63</v>
      </c>
      <c r="AC4" s="109" t="s">
        <v>63</v>
      </c>
    </row>
    <row r="5" spans="1:29" s="89" customFormat="1" x14ac:dyDescent="0.25">
      <c r="A5" s="109"/>
      <c r="B5" s="109"/>
      <c r="C5" s="109" t="s">
        <v>48</v>
      </c>
      <c r="D5" s="109" t="s">
        <v>48</v>
      </c>
      <c r="E5" s="109" t="s">
        <v>48</v>
      </c>
      <c r="F5" s="109" t="s">
        <v>48</v>
      </c>
      <c r="G5" s="109" t="s">
        <v>48</v>
      </c>
      <c r="H5" s="109" t="s">
        <v>48</v>
      </c>
      <c r="I5" s="109" t="s">
        <v>48</v>
      </c>
      <c r="J5" s="109" t="s">
        <v>48</v>
      </c>
      <c r="K5" s="109" t="s">
        <v>48</v>
      </c>
      <c r="L5" s="109" t="s">
        <v>48</v>
      </c>
      <c r="M5" s="109" t="s">
        <v>48</v>
      </c>
      <c r="N5" s="109" t="s">
        <v>48</v>
      </c>
      <c r="O5" s="109" t="s">
        <v>48</v>
      </c>
      <c r="P5" s="109"/>
      <c r="Q5" s="109" t="s">
        <v>49</v>
      </c>
      <c r="R5" s="109" t="s">
        <v>49</v>
      </c>
      <c r="S5" s="109" t="s">
        <v>49</v>
      </c>
      <c r="T5" s="109" t="s">
        <v>49</v>
      </c>
      <c r="U5" s="109" t="s">
        <v>49</v>
      </c>
      <c r="V5" s="109" t="s">
        <v>49</v>
      </c>
      <c r="W5" s="109" t="s">
        <v>49</v>
      </c>
      <c r="X5" s="109" t="s">
        <v>49</v>
      </c>
      <c r="Y5" s="109" t="s">
        <v>49</v>
      </c>
      <c r="Z5" s="109" t="s">
        <v>49</v>
      </c>
      <c r="AA5" s="109" t="s">
        <v>49</v>
      </c>
      <c r="AB5" s="109" t="s">
        <v>49</v>
      </c>
      <c r="AC5" s="109" t="s">
        <v>49</v>
      </c>
    </row>
    <row r="6" spans="1:29" s="89" customFormat="1" x14ac:dyDescent="0.25">
      <c r="A6" s="109"/>
      <c r="B6" s="109"/>
      <c r="C6" s="109" t="s">
        <v>52</v>
      </c>
      <c r="D6" s="109" t="s">
        <v>96</v>
      </c>
      <c r="E6" s="109" t="s">
        <v>112</v>
      </c>
      <c r="F6" s="109" t="s">
        <v>111</v>
      </c>
      <c r="G6" s="109" t="s">
        <v>110</v>
      </c>
      <c r="H6" s="109" t="s">
        <v>109</v>
      </c>
      <c r="I6" s="109" t="s">
        <v>108</v>
      </c>
      <c r="J6" s="109" t="s">
        <v>107</v>
      </c>
      <c r="K6" s="109" t="s">
        <v>106</v>
      </c>
      <c r="L6" s="109" t="s">
        <v>105</v>
      </c>
      <c r="M6" s="109" t="s">
        <v>50</v>
      </c>
      <c r="N6" s="109" t="s">
        <v>51</v>
      </c>
      <c r="O6" s="109" t="s">
        <v>52</v>
      </c>
      <c r="P6" s="109"/>
      <c r="Q6" s="109" t="s">
        <v>52</v>
      </c>
      <c r="R6" s="109" t="s">
        <v>96</v>
      </c>
      <c r="S6" s="109" t="s">
        <v>112</v>
      </c>
      <c r="T6" s="109" t="s">
        <v>111</v>
      </c>
      <c r="U6" s="109" t="s">
        <v>110</v>
      </c>
      <c r="V6" s="109" t="s">
        <v>109</v>
      </c>
      <c r="W6" s="109" t="s">
        <v>108</v>
      </c>
      <c r="X6" s="109" t="s">
        <v>107</v>
      </c>
      <c r="Y6" s="109" t="s">
        <v>106</v>
      </c>
      <c r="Z6" s="109" t="s">
        <v>105</v>
      </c>
      <c r="AA6" s="109" t="s">
        <v>50</v>
      </c>
      <c r="AB6" s="109" t="s">
        <v>51</v>
      </c>
      <c r="AC6" s="109" t="s">
        <v>52</v>
      </c>
    </row>
    <row r="7" spans="1:29" s="89" customFormat="1" x14ac:dyDescent="0.25">
      <c r="A7" s="109"/>
      <c r="B7" s="109"/>
      <c r="C7" s="109" t="s">
        <v>53</v>
      </c>
      <c r="D7" s="109" t="s">
        <v>53</v>
      </c>
      <c r="E7" s="109" t="s">
        <v>53</v>
      </c>
      <c r="F7" s="109" t="s">
        <v>53</v>
      </c>
      <c r="G7" s="109" t="s">
        <v>53</v>
      </c>
      <c r="H7" s="109" t="s">
        <v>53</v>
      </c>
      <c r="I7" s="109" t="s">
        <v>53</v>
      </c>
      <c r="J7" s="109" t="s">
        <v>53</v>
      </c>
      <c r="K7" s="109" t="s">
        <v>53</v>
      </c>
      <c r="L7" s="109" t="s">
        <v>53</v>
      </c>
      <c r="M7" s="109" t="s">
        <v>53</v>
      </c>
      <c r="N7" s="109" t="s">
        <v>53</v>
      </c>
      <c r="O7" s="109" t="s">
        <v>53</v>
      </c>
      <c r="P7" s="109"/>
      <c r="Q7" s="109" t="s">
        <v>53</v>
      </c>
      <c r="R7" s="109" t="s">
        <v>53</v>
      </c>
      <c r="S7" s="109" t="s">
        <v>53</v>
      </c>
      <c r="T7" s="109" t="s">
        <v>53</v>
      </c>
      <c r="U7" s="109" t="s">
        <v>53</v>
      </c>
      <c r="V7" s="109" t="s">
        <v>53</v>
      </c>
      <c r="W7" s="109" t="s">
        <v>53</v>
      </c>
      <c r="X7" s="109" t="s">
        <v>53</v>
      </c>
      <c r="Y7" s="109" t="s">
        <v>53</v>
      </c>
      <c r="Z7" s="109" t="s">
        <v>53</v>
      </c>
      <c r="AA7" s="109" t="s">
        <v>53</v>
      </c>
      <c r="AB7" s="109" t="s">
        <v>53</v>
      </c>
      <c r="AC7" s="109" t="s">
        <v>53</v>
      </c>
    </row>
    <row r="8" spans="1:29" customFormat="1" hidden="1" x14ac:dyDescent="0.25">
      <c r="A8" s="107" t="s">
        <v>64</v>
      </c>
      <c r="B8" s="107" t="s">
        <v>65</v>
      </c>
      <c r="C8" s="55">
        <v>0</v>
      </c>
      <c r="D8" s="55">
        <v>0</v>
      </c>
      <c r="E8" s="55">
        <v>0</v>
      </c>
      <c r="F8" s="55">
        <v>0</v>
      </c>
      <c r="G8" s="55">
        <v>0</v>
      </c>
      <c r="H8" s="55">
        <v>0</v>
      </c>
      <c r="I8" s="55">
        <v>0</v>
      </c>
      <c r="J8" s="55">
        <v>0</v>
      </c>
      <c r="K8" s="55">
        <v>0</v>
      </c>
      <c r="L8" s="55">
        <v>0</v>
      </c>
      <c r="M8" s="55">
        <v>0</v>
      </c>
      <c r="N8" s="55">
        <v>0</v>
      </c>
      <c r="O8" s="55">
        <v>0</v>
      </c>
      <c r="P8" s="55"/>
      <c r="Q8" s="55">
        <v>0</v>
      </c>
      <c r="R8" s="55">
        <v>0</v>
      </c>
      <c r="S8" s="55">
        <v>0</v>
      </c>
      <c r="T8" s="107">
        <v>0</v>
      </c>
      <c r="U8" s="107">
        <v>0</v>
      </c>
      <c r="V8" s="107">
        <v>0</v>
      </c>
      <c r="W8" s="107">
        <v>0</v>
      </c>
      <c r="X8" s="107">
        <v>0</v>
      </c>
      <c r="Y8" s="107">
        <v>0</v>
      </c>
      <c r="Z8" s="107">
        <v>0</v>
      </c>
      <c r="AA8" s="107">
        <v>0</v>
      </c>
      <c r="AB8" s="107">
        <v>0</v>
      </c>
      <c r="AC8" s="107">
        <v>0</v>
      </c>
    </row>
    <row r="9" spans="1:29" customFormat="1" hidden="1" x14ac:dyDescent="0.25">
      <c r="A9" s="107" t="s">
        <v>66</v>
      </c>
      <c r="B9" s="107" t="s">
        <v>67</v>
      </c>
      <c r="C9" s="55">
        <v>0</v>
      </c>
      <c r="D9" s="55">
        <v>0</v>
      </c>
      <c r="E9" s="55">
        <v>0</v>
      </c>
      <c r="F9" s="55">
        <v>0</v>
      </c>
      <c r="G9" s="55">
        <v>0</v>
      </c>
      <c r="H9" s="55">
        <v>0</v>
      </c>
      <c r="I9" s="55">
        <v>0</v>
      </c>
      <c r="J9" s="55">
        <v>0</v>
      </c>
      <c r="K9" s="55">
        <v>0</v>
      </c>
      <c r="L9" s="55">
        <v>0</v>
      </c>
      <c r="M9" s="55">
        <v>0</v>
      </c>
      <c r="N9" s="55">
        <v>0</v>
      </c>
      <c r="O9" s="55">
        <v>0</v>
      </c>
      <c r="P9" s="55"/>
      <c r="Q9" s="55">
        <v>0</v>
      </c>
      <c r="R9" s="55">
        <v>0</v>
      </c>
      <c r="S9" s="55">
        <v>0</v>
      </c>
      <c r="T9" s="107">
        <v>0</v>
      </c>
      <c r="U9" s="107">
        <v>0</v>
      </c>
      <c r="V9" s="107">
        <v>0</v>
      </c>
      <c r="W9" s="107">
        <v>0</v>
      </c>
      <c r="X9" s="107">
        <v>0</v>
      </c>
      <c r="Y9" s="107">
        <v>0</v>
      </c>
      <c r="Z9" s="107">
        <v>0</v>
      </c>
      <c r="AA9" s="107">
        <v>0</v>
      </c>
      <c r="AB9" s="107">
        <v>0</v>
      </c>
      <c r="AC9" s="107">
        <v>0</v>
      </c>
    </row>
    <row r="10" spans="1:29" customFormat="1" hidden="1" x14ac:dyDescent="0.25">
      <c r="A10" s="108" t="s">
        <v>68</v>
      </c>
      <c r="B10" s="107" t="s">
        <v>69</v>
      </c>
      <c r="C10" s="55">
        <v>0</v>
      </c>
      <c r="D10" s="55">
        <v>0</v>
      </c>
      <c r="E10" s="55">
        <v>0</v>
      </c>
      <c r="F10" s="55">
        <v>0</v>
      </c>
      <c r="G10" s="55">
        <v>0</v>
      </c>
      <c r="H10" s="55">
        <v>0</v>
      </c>
      <c r="I10" s="55">
        <v>0</v>
      </c>
      <c r="J10" s="55">
        <v>0</v>
      </c>
      <c r="K10" s="55">
        <v>0</v>
      </c>
      <c r="L10" s="55">
        <v>0</v>
      </c>
      <c r="M10" s="55">
        <v>0</v>
      </c>
      <c r="N10" s="55">
        <v>0</v>
      </c>
      <c r="O10" s="55">
        <v>0</v>
      </c>
      <c r="P10" s="55"/>
      <c r="Q10" s="55">
        <v>0</v>
      </c>
      <c r="R10" s="55">
        <v>0</v>
      </c>
      <c r="S10" s="55">
        <v>0</v>
      </c>
      <c r="T10" s="107">
        <v>0</v>
      </c>
      <c r="U10" s="107">
        <v>0</v>
      </c>
      <c r="V10" s="107">
        <v>0</v>
      </c>
      <c r="W10" s="107">
        <v>0</v>
      </c>
      <c r="X10" s="107">
        <v>0</v>
      </c>
      <c r="Y10" s="107">
        <v>0</v>
      </c>
      <c r="Z10" s="107">
        <v>0</v>
      </c>
      <c r="AA10" s="107">
        <v>0</v>
      </c>
      <c r="AB10" s="107">
        <v>0</v>
      </c>
      <c r="AC10" s="107">
        <v>0</v>
      </c>
    </row>
    <row r="11" spans="1:29" customFormat="1" hidden="1" x14ac:dyDescent="0.25">
      <c r="A11" s="108" t="s">
        <v>70</v>
      </c>
      <c r="B11" s="107" t="s">
        <v>71</v>
      </c>
      <c r="C11" s="55">
        <v>0</v>
      </c>
      <c r="D11" s="55">
        <v>0</v>
      </c>
      <c r="E11" s="55">
        <v>0</v>
      </c>
      <c r="F11" s="55">
        <v>0</v>
      </c>
      <c r="G11" s="55">
        <v>0</v>
      </c>
      <c r="H11" s="55">
        <v>0</v>
      </c>
      <c r="I11" s="55">
        <v>0</v>
      </c>
      <c r="J11" s="55">
        <v>0</v>
      </c>
      <c r="K11" s="55">
        <v>0</v>
      </c>
      <c r="L11" s="55">
        <v>0</v>
      </c>
      <c r="M11" s="55">
        <v>0</v>
      </c>
      <c r="N11" s="55">
        <v>0</v>
      </c>
      <c r="O11" s="55">
        <v>0</v>
      </c>
      <c r="P11" s="55"/>
      <c r="Q11" s="55">
        <v>0</v>
      </c>
      <c r="R11" s="55">
        <v>0</v>
      </c>
      <c r="S11" s="55">
        <v>0</v>
      </c>
      <c r="T11" s="107">
        <v>0</v>
      </c>
      <c r="U11" s="107">
        <v>0</v>
      </c>
      <c r="V11" s="107">
        <v>0</v>
      </c>
      <c r="W11" s="107">
        <v>0</v>
      </c>
      <c r="X11" s="107">
        <v>0</v>
      </c>
      <c r="Y11" s="107">
        <v>0</v>
      </c>
      <c r="Z11" s="107">
        <v>0</v>
      </c>
      <c r="AA11" s="107">
        <v>0</v>
      </c>
      <c r="AB11" s="107">
        <v>0</v>
      </c>
      <c r="AC11" s="107">
        <v>0</v>
      </c>
    </row>
    <row r="12" spans="1:29" customFormat="1" hidden="1" x14ac:dyDescent="0.25">
      <c r="A12" s="108" t="s">
        <v>72</v>
      </c>
      <c r="B12" s="107" t="s">
        <v>73</v>
      </c>
      <c r="C12" s="55">
        <v>0</v>
      </c>
      <c r="D12" s="55">
        <v>0</v>
      </c>
      <c r="E12" s="55">
        <v>0</v>
      </c>
      <c r="F12" s="55">
        <v>0</v>
      </c>
      <c r="G12" s="55">
        <v>0</v>
      </c>
      <c r="H12" s="55">
        <v>0</v>
      </c>
      <c r="I12" s="55">
        <v>0</v>
      </c>
      <c r="J12" s="55">
        <v>0</v>
      </c>
      <c r="K12" s="55">
        <v>0</v>
      </c>
      <c r="L12" s="55">
        <v>0</v>
      </c>
      <c r="M12" s="55">
        <v>0</v>
      </c>
      <c r="N12" s="55">
        <v>0</v>
      </c>
      <c r="O12" s="55">
        <v>0</v>
      </c>
      <c r="P12" s="55"/>
      <c r="Q12" s="55">
        <v>0</v>
      </c>
      <c r="R12" s="55">
        <v>0</v>
      </c>
      <c r="S12" s="55">
        <v>0</v>
      </c>
      <c r="T12" s="107">
        <v>0</v>
      </c>
      <c r="U12" s="107">
        <v>0</v>
      </c>
      <c r="V12" s="107">
        <v>0</v>
      </c>
      <c r="W12" s="107">
        <v>0</v>
      </c>
      <c r="X12" s="107">
        <v>0</v>
      </c>
      <c r="Y12" s="107">
        <v>0</v>
      </c>
      <c r="Z12" s="107">
        <v>0</v>
      </c>
      <c r="AA12" s="107">
        <v>0</v>
      </c>
      <c r="AB12" s="107">
        <v>0</v>
      </c>
      <c r="AC12" s="107">
        <v>0</v>
      </c>
    </row>
    <row r="13" spans="1:29" customFormat="1" hidden="1" x14ac:dyDescent="0.25">
      <c r="A13" s="108" t="s">
        <v>74</v>
      </c>
      <c r="B13" s="107" t="s">
        <v>75</v>
      </c>
      <c r="C13" s="55">
        <v>0</v>
      </c>
      <c r="D13" s="55">
        <v>4.6566128730773926E-10</v>
      </c>
      <c r="E13" s="55">
        <v>-2804397.7379999994</v>
      </c>
      <c r="F13" s="55">
        <v>-2898758.1809999994</v>
      </c>
      <c r="G13" s="55">
        <v>-2921878.3239999996</v>
      </c>
      <c r="H13" s="55">
        <v>-3009595.5629999996</v>
      </c>
      <c r="I13" s="55">
        <v>-3130386.5159999998</v>
      </c>
      <c r="J13" s="55">
        <v>-3047986.835</v>
      </c>
      <c r="K13" s="55">
        <v>-3107191.4780000001</v>
      </c>
      <c r="L13" s="55">
        <v>-3144721.4539999999</v>
      </c>
      <c r="M13" s="55">
        <v>-3140033.0159999998</v>
      </c>
      <c r="N13" s="55">
        <v>-3085763.966</v>
      </c>
      <c r="O13" s="55">
        <v>-3123136.662</v>
      </c>
      <c r="P13" s="55"/>
      <c r="Q13" s="55">
        <v>0</v>
      </c>
      <c r="R13" s="55">
        <v>0</v>
      </c>
      <c r="S13" s="55">
        <v>-645.29192000000023</v>
      </c>
      <c r="T13" s="107">
        <v>-649.03196000000025</v>
      </c>
      <c r="U13" s="107">
        <v>-637.26166000000023</v>
      </c>
      <c r="V13" s="107">
        <v>-639.84002000000021</v>
      </c>
      <c r="W13" s="107">
        <v>-654.25078000000019</v>
      </c>
      <c r="X13" s="107">
        <v>-637.94364000000019</v>
      </c>
      <c r="Y13" s="107">
        <v>-659.65675000000022</v>
      </c>
      <c r="Z13" s="107">
        <v>-658.81914000000017</v>
      </c>
      <c r="AA13" s="107">
        <v>-693.31929000000014</v>
      </c>
      <c r="AB13" s="107">
        <v>-720.21731000000011</v>
      </c>
      <c r="AC13" s="107">
        <v>-720.50763000000006</v>
      </c>
    </row>
    <row r="14" spans="1:29" hidden="1" x14ac:dyDescent="0.25">
      <c r="A14" s="108" t="s">
        <v>76</v>
      </c>
      <c r="B14" s="107" t="s">
        <v>77</v>
      </c>
      <c r="C14" s="55">
        <v>0</v>
      </c>
      <c r="D14" s="55">
        <v>0</v>
      </c>
      <c r="E14" s="55">
        <v>0</v>
      </c>
      <c r="F14" s="55">
        <v>0</v>
      </c>
      <c r="G14" s="55">
        <v>0</v>
      </c>
      <c r="H14" s="55">
        <v>0</v>
      </c>
      <c r="I14" s="55">
        <v>0</v>
      </c>
      <c r="J14" s="55">
        <v>0</v>
      </c>
      <c r="K14" s="55">
        <v>0</v>
      </c>
      <c r="L14" s="55">
        <v>0</v>
      </c>
      <c r="M14" s="55">
        <v>0</v>
      </c>
      <c r="N14" s="55">
        <v>0</v>
      </c>
      <c r="O14" s="55">
        <v>0</v>
      </c>
      <c r="P14" s="55"/>
      <c r="Q14" s="55">
        <v>0</v>
      </c>
      <c r="R14" s="55">
        <v>0</v>
      </c>
      <c r="S14" s="55">
        <v>0</v>
      </c>
      <c r="T14" s="107">
        <v>0</v>
      </c>
      <c r="U14" s="107">
        <v>0</v>
      </c>
      <c r="V14" s="107">
        <v>0</v>
      </c>
      <c r="W14" s="107">
        <v>0</v>
      </c>
      <c r="X14" s="107">
        <v>0</v>
      </c>
      <c r="Y14" s="107">
        <v>0</v>
      </c>
      <c r="Z14" s="107">
        <v>0</v>
      </c>
      <c r="AA14" s="107">
        <v>0</v>
      </c>
      <c r="AB14" s="107">
        <v>0</v>
      </c>
      <c r="AC14" s="107">
        <v>0</v>
      </c>
    </row>
    <row r="15" spans="1:29" hidden="1" x14ac:dyDescent="0.25">
      <c r="A15" s="108" t="s">
        <v>78</v>
      </c>
      <c r="B15" s="107" t="s">
        <v>79</v>
      </c>
      <c r="C15" s="55">
        <v>0</v>
      </c>
      <c r="D15" s="55">
        <v>0</v>
      </c>
      <c r="E15" s="55">
        <v>0</v>
      </c>
      <c r="F15" s="55">
        <v>0</v>
      </c>
      <c r="G15" s="55">
        <v>0</v>
      </c>
      <c r="H15" s="55">
        <v>0</v>
      </c>
      <c r="I15" s="55">
        <v>0</v>
      </c>
      <c r="J15" s="55">
        <v>0</v>
      </c>
      <c r="K15" s="55">
        <v>0</v>
      </c>
      <c r="L15" s="55">
        <v>0</v>
      </c>
      <c r="M15" s="55">
        <v>0</v>
      </c>
      <c r="N15" s="55">
        <v>0</v>
      </c>
      <c r="O15" s="55">
        <v>0</v>
      </c>
      <c r="P15" s="55"/>
      <c r="Q15" s="55">
        <v>0</v>
      </c>
      <c r="R15" s="55">
        <v>0</v>
      </c>
      <c r="S15" s="55">
        <v>0</v>
      </c>
      <c r="T15" s="107">
        <v>0</v>
      </c>
      <c r="U15" s="107">
        <v>0</v>
      </c>
      <c r="V15" s="107">
        <v>0</v>
      </c>
      <c r="W15" s="107">
        <v>0</v>
      </c>
      <c r="X15" s="107">
        <v>0</v>
      </c>
      <c r="Y15" s="107">
        <v>0</v>
      </c>
      <c r="Z15" s="107">
        <v>0</v>
      </c>
      <c r="AA15" s="107">
        <v>0</v>
      </c>
      <c r="AB15" s="107">
        <v>0</v>
      </c>
      <c r="AC15" s="107">
        <v>0</v>
      </c>
    </row>
    <row r="16" spans="1:29" hidden="1" x14ac:dyDescent="0.25">
      <c r="A16" s="108" t="s">
        <v>80</v>
      </c>
      <c r="B16" s="107" t="s">
        <v>81</v>
      </c>
      <c r="C16" s="55">
        <v>0</v>
      </c>
      <c r="D16" s="55">
        <v>0</v>
      </c>
      <c r="E16" s="55">
        <v>0</v>
      </c>
      <c r="F16" s="55">
        <v>0</v>
      </c>
      <c r="G16" s="55">
        <v>0</v>
      </c>
      <c r="H16" s="55">
        <v>0</v>
      </c>
      <c r="I16" s="55">
        <v>0</v>
      </c>
      <c r="J16" s="55">
        <v>0</v>
      </c>
      <c r="K16" s="55">
        <v>0</v>
      </c>
      <c r="L16" s="55">
        <v>0</v>
      </c>
      <c r="M16" s="55">
        <v>0</v>
      </c>
      <c r="N16" s="55">
        <v>0</v>
      </c>
      <c r="O16" s="55">
        <v>0</v>
      </c>
      <c r="P16" s="55"/>
      <c r="Q16" s="55">
        <v>0</v>
      </c>
      <c r="R16" s="55">
        <v>0</v>
      </c>
      <c r="S16" s="55">
        <v>0</v>
      </c>
      <c r="T16" s="107">
        <v>0</v>
      </c>
      <c r="U16" s="107">
        <v>0</v>
      </c>
      <c r="V16" s="107">
        <v>0</v>
      </c>
      <c r="W16" s="107">
        <v>0</v>
      </c>
      <c r="X16" s="107">
        <v>0</v>
      </c>
      <c r="Y16" s="107">
        <v>0</v>
      </c>
      <c r="Z16" s="107">
        <v>0</v>
      </c>
      <c r="AA16" s="107">
        <v>0</v>
      </c>
      <c r="AB16" s="107">
        <v>0</v>
      </c>
      <c r="AC16" s="107">
        <v>0</v>
      </c>
    </row>
    <row r="17" spans="1:32" hidden="1" x14ac:dyDescent="0.25">
      <c r="A17" s="107" t="s">
        <v>82</v>
      </c>
      <c r="B17" s="107" t="s">
        <v>83</v>
      </c>
      <c r="C17" s="55">
        <v>0</v>
      </c>
      <c r="D17" s="55">
        <v>4.6566128730773926E-10</v>
      </c>
      <c r="E17" s="55">
        <v>-2804397.7379999994</v>
      </c>
      <c r="F17" s="55">
        <v>-2898758.1809999994</v>
      </c>
      <c r="G17" s="55">
        <v>-2921878.3239999996</v>
      </c>
      <c r="H17" s="55">
        <v>-3009595.5629999996</v>
      </c>
      <c r="I17" s="55">
        <v>-3130386.5159999998</v>
      </c>
      <c r="J17" s="55">
        <v>-3047986.835</v>
      </c>
      <c r="K17" s="55">
        <v>-3107191.4780000001</v>
      </c>
      <c r="L17" s="55">
        <v>-3144721.4539999999</v>
      </c>
      <c r="M17" s="55">
        <v>-3140033.0159999998</v>
      </c>
      <c r="N17" s="55">
        <v>-3085763.966</v>
      </c>
      <c r="O17" s="55">
        <v>-3123136.662</v>
      </c>
      <c r="P17" s="55"/>
      <c r="Q17" s="55">
        <v>0</v>
      </c>
      <c r="R17" s="55">
        <v>0</v>
      </c>
      <c r="S17" s="55">
        <v>-645.29192000000023</v>
      </c>
      <c r="T17" s="107">
        <v>-649.03196000000025</v>
      </c>
      <c r="U17" s="107">
        <v>-637.26166000000023</v>
      </c>
      <c r="V17" s="107">
        <v>-639.84002000000021</v>
      </c>
      <c r="W17" s="107">
        <v>-654.25078000000019</v>
      </c>
      <c r="X17" s="107">
        <v>-637.94364000000019</v>
      </c>
      <c r="Y17" s="107">
        <v>-659.65675000000022</v>
      </c>
      <c r="Z17" s="107">
        <v>-658.81914000000017</v>
      </c>
      <c r="AA17" s="107">
        <v>-693.31929000000014</v>
      </c>
      <c r="AB17" s="107">
        <v>-720.21731000000011</v>
      </c>
      <c r="AC17" s="107">
        <v>-720.50763000000006</v>
      </c>
    </row>
    <row r="18" spans="1:32" hidden="1" x14ac:dyDescent="0.25">
      <c r="A18" s="107" t="s">
        <v>84</v>
      </c>
      <c r="B18" s="107" t="s">
        <v>85</v>
      </c>
      <c r="C18" s="55">
        <v>0</v>
      </c>
      <c r="D18" s="55">
        <v>0</v>
      </c>
      <c r="E18" s="55">
        <v>0</v>
      </c>
      <c r="F18" s="55">
        <v>0</v>
      </c>
      <c r="G18" s="55">
        <v>0</v>
      </c>
      <c r="H18" s="55">
        <v>0</v>
      </c>
      <c r="I18" s="55">
        <v>0</v>
      </c>
      <c r="J18" s="55">
        <v>0</v>
      </c>
      <c r="K18" s="55">
        <v>0</v>
      </c>
      <c r="L18" s="55">
        <v>0</v>
      </c>
      <c r="M18" s="55">
        <v>0</v>
      </c>
      <c r="N18" s="55">
        <v>0</v>
      </c>
      <c r="O18" s="55">
        <v>0</v>
      </c>
      <c r="P18" s="55"/>
      <c r="Q18" s="55">
        <v>0</v>
      </c>
      <c r="R18" s="55">
        <v>0</v>
      </c>
      <c r="S18" s="55">
        <v>0</v>
      </c>
      <c r="T18" s="107">
        <v>0</v>
      </c>
      <c r="U18" s="107">
        <v>0</v>
      </c>
      <c r="V18" s="107">
        <v>0</v>
      </c>
      <c r="W18" s="107">
        <v>0</v>
      </c>
      <c r="X18" s="107">
        <v>0</v>
      </c>
      <c r="Y18" s="107">
        <v>0</v>
      </c>
      <c r="Z18" s="107">
        <v>0</v>
      </c>
      <c r="AA18" s="107">
        <v>0</v>
      </c>
      <c r="AB18" s="107">
        <v>0</v>
      </c>
      <c r="AC18" s="107">
        <v>0</v>
      </c>
    </row>
    <row r="19" spans="1:32" hidden="1" x14ac:dyDescent="0.25">
      <c r="A19" s="107" t="s">
        <v>86</v>
      </c>
      <c r="B19" s="107" t="s">
        <v>87</v>
      </c>
      <c r="C19" s="55">
        <v>0</v>
      </c>
      <c r="D19" s="55">
        <v>0</v>
      </c>
      <c r="E19" s="55">
        <v>0</v>
      </c>
      <c r="F19" s="55">
        <v>0</v>
      </c>
      <c r="G19" s="55">
        <v>0</v>
      </c>
      <c r="H19" s="55">
        <v>0</v>
      </c>
      <c r="I19" s="55">
        <v>0</v>
      </c>
      <c r="J19" s="55">
        <v>0</v>
      </c>
      <c r="K19" s="55">
        <v>0</v>
      </c>
      <c r="L19" s="55">
        <v>0</v>
      </c>
      <c r="M19" s="55">
        <v>0</v>
      </c>
      <c r="N19" s="55">
        <v>0</v>
      </c>
      <c r="O19" s="55">
        <v>0</v>
      </c>
      <c r="P19" s="55"/>
      <c r="Q19" s="55">
        <v>0</v>
      </c>
      <c r="R19" s="55">
        <v>0</v>
      </c>
      <c r="S19" s="55">
        <v>0</v>
      </c>
      <c r="T19" s="107">
        <v>0</v>
      </c>
      <c r="U19" s="107">
        <v>0</v>
      </c>
      <c r="V19" s="107">
        <v>0</v>
      </c>
      <c r="W19" s="107">
        <v>0</v>
      </c>
      <c r="X19" s="107">
        <v>0</v>
      </c>
      <c r="Y19" s="107">
        <v>0</v>
      </c>
      <c r="Z19" s="107">
        <v>0</v>
      </c>
      <c r="AA19" s="107">
        <v>0</v>
      </c>
      <c r="AB19" s="107">
        <v>0</v>
      </c>
      <c r="AC19" s="107">
        <v>0</v>
      </c>
    </row>
    <row r="20" spans="1:32" hidden="1" x14ac:dyDescent="0.25">
      <c r="A20" s="107" t="s">
        <v>88</v>
      </c>
      <c r="B20" s="107" t="s">
        <v>89</v>
      </c>
      <c r="C20" s="55">
        <v>0</v>
      </c>
      <c r="D20" s="55">
        <v>0</v>
      </c>
      <c r="E20" s="55">
        <v>0</v>
      </c>
      <c r="F20" s="55">
        <v>0</v>
      </c>
      <c r="G20" s="55">
        <v>0</v>
      </c>
      <c r="H20" s="55">
        <v>0</v>
      </c>
      <c r="I20" s="55">
        <v>0</v>
      </c>
      <c r="J20" s="55">
        <v>0</v>
      </c>
      <c r="K20" s="55">
        <v>0</v>
      </c>
      <c r="L20" s="55">
        <v>0</v>
      </c>
      <c r="M20" s="55">
        <v>0</v>
      </c>
      <c r="N20" s="55">
        <v>0</v>
      </c>
      <c r="O20" s="55">
        <v>0</v>
      </c>
      <c r="P20" s="55"/>
      <c r="Q20" s="55">
        <v>0</v>
      </c>
      <c r="R20" s="55">
        <v>0</v>
      </c>
      <c r="S20" s="55">
        <v>0</v>
      </c>
      <c r="T20" s="107">
        <v>0</v>
      </c>
      <c r="U20" s="107">
        <v>0</v>
      </c>
      <c r="V20" s="107">
        <v>0</v>
      </c>
      <c r="W20" s="107">
        <v>0</v>
      </c>
      <c r="X20" s="107">
        <v>0</v>
      </c>
      <c r="Y20" s="107">
        <v>0</v>
      </c>
      <c r="Z20" s="107">
        <v>0</v>
      </c>
      <c r="AA20" s="107">
        <v>0</v>
      </c>
      <c r="AB20" s="107">
        <v>0</v>
      </c>
      <c r="AC20" s="107">
        <v>0</v>
      </c>
    </row>
    <row r="21" spans="1:32" x14ac:dyDescent="0.25">
      <c r="A21" s="107" t="s">
        <v>90</v>
      </c>
      <c r="B21" s="107" t="s">
        <v>91</v>
      </c>
      <c r="C21" s="55">
        <v>0</v>
      </c>
      <c r="D21" s="55">
        <v>4.6566128730773926E-10</v>
      </c>
      <c r="E21" s="55">
        <v>-2804397.7379999994</v>
      </c>
      <c r="F21" s="55">
        <v>-2898758.1809999994</v>
      </c>
      <c r="G21" s="55">
        <v>-2921878.3239999996</v>
      </c>
      <c r="H21" s="55">
        <v>-3009595.5629999996</v>
      </c>
      <c r="I21" s="55">
        <v>-3130386.5159999998</v>
      </c>
      <c r="J21" s="55">
        <v>-3047986.835</v>
      </c>
      <c r="K21" s="55">
        <v>-3107191.4780000001</v>
      </c>
      <c r="L21" s="55">
        <v>-3144721.4539999999</v>
      </c>
      <c r="M21" s="55">
        <v>-3140033.0159999998</v>
      </c>
      <c r="N21" s="55">
        <v>-3085763.966</v>
      </c>
      <c r="O21" s="55">
        <v>-3123136.662</v>
      </c>
      <c r="P21" s="55"/>
      <c r="Q21" s="55">
        <v>0</v>
      </c>
      <c r="R21" s="55">
        <v>0</v>
      </c>
      <c r="S21" s="55">
        <v>-645.29192000000023</v>
      </c>
      <c r="T21" s="107">
        <v>-649.03196000000025</v>
      </c>
      <c r="U21" s="107">
        <v>-637.26166000000023</v>
      </c>
      <c r="V21" s="107">
        <v>-639.84002000000021</v>
      </c>
      <c r="W21" s="107">
        <v>-654.25078000000019</v>
      </c>
      <c r="X21" s="107">
        <v>-637.94364000000019</v>
      </c>
      <c r="Y21" s="107">
        <v>-659.65675000000022</v>
      </c>
      <c r="Z21" s="107">
        <v>-658.81914000000017</v>
      </c>
      <c r="AA21" s="107">
        <v>-693.31929000000014</v>
      </c>
      <c r="AB21" s="107">
        <v>-720.21731000000011</v>
      </c>
      <c r="AC21" s="107">
        <v>-720.50763000000006</v>
      </c>
    </row>
    <row r="22" spans="1:32" x14ac:dyDescent="0.25">
      <c r="A22" s="107" t="s">
        <v>92</v>
      </c>
      <c r="B22" s="107" t="s">
        <v>93</v>
      </c>
      <c r="C22" s="55">
        <v>-205147.81200000001</v>
      </c>
      <c r="D22" s="55">
        <v>-251991.81999999989</v>
      </c>
      <c r="E22" s="55">
        <v>-709004.77099999995</v>
      </c>
      <c r="F22" s="55">
        <v>-703180.78200000001</v>
      </c>
      <c r="G22" s="55">
        <v>-709478.98400000005</v>
      </c>
      <c r="H22" s="55">
        <v>-697554.29500000004</v>
      </c>
      <c r="I22" s="55">
        <v>-669905.05200000003</v>
      </c>
      <c r="J22" s="55">
        <v>-657595.402</v>
      </c>
      <c r="K22" s="55">
        <v>-675633.853</v>
      </c>
      <c r="L22" s="55">
        <v>-657451.11100000003</v>
      </c>
      <c r="M22" s="55">
        <v>-674664.6</v>
      </c>
      <c r="N22" s="55">
        <v>-639887.87099999993</v>
      </c>
      <c r="O22" s="55">
        <v>-600285.28199999989</v>
      </c>
      <c r="P22" s="55"/>
      <c r="Q22" s="55">
        <v>-46.978839999999991</v>
      </c>
      <c r="R22" s="55">
        <v>-57.101359999999957</v>
      </c>
      <c r="S22" s="55">
        <v>-163.14199999999997</v>
      </c>
      <c r="T22" s="107">
        <v>-157.44216999999998</v>
      </c>
      <c r="U22" s="107">
        <v>-154.73736999999997</v>
      </c>
      <c r="V22" s="107">
        <v>-148.30003999999997</v>
      </c>
      <c r="W22" s="107">
        <v>-140.01016999999996</v>
      </c>
      <c r="X22" s="107">
        <v>-137.63472999999996</v>
      </c>
      <c r="Y22" s="107">
        <v>-143.43704999999997</v>
      </c>
      <c r="Z22" s="107">
        <v>-137.73600999999996</v>
      </c>
      <c r="AA22" s="107">
        <v>-148.96594999999996</v>
      </c>
      <c r="AB22" s="107">
        <v>-149.34983999999997</v>
      </c>
      <c r="AC22" s="107">
        <v>-138.48581999999996</v>
      </c>
    </row>
    <row r="23" spans="1:32" s="90" customFormat="1" x14ac:dyDescent="0.25">
      <c r="A23" s="107" t="s">
        <v>94</v>
      </c>
      <c r="B23" s="107" t="s">
        <v>95</v>
      </c>
      <c r="C23" s="55">
        <v>-205147.81200000001</v>
      </c>
      <c r="D23" s="55">
        <v>-251991.81999999989</v>
      </c>
      <c r="E23" s="55">
        <v>-709004.77099999995</v>
      </c>
      <c r="F23" s="55">
        <v>-703180.78200000001</v>
      </c>
      <c r="G23" s="55">
        <v>-709478.98400000005</v>
      </c>
      <c r="H23" s="55">
        <v>-697554.29500000004</v>
      </c>
      <c r="I23" s="55">
        <v>-669905.05200000003</v>
      </c>
      <c r="J23" s="55">
        <v>-657595.402</v>
      </c>
      <c r="K23" s="55">
        <v>-675633.853</v>
      </c>
      <c r="L23" s="55">
        <v>-657451.11100000003</v>
      </c>
      <c r="M23" s="55">
        <v>-674664.6</v>
      </c>
      <c r="N23" s="55">
        <v>-639887.87099999993</v>
      </c>
      <c r="O23" s="55">
        <v>-600285.28199999989</v>
      </c>
      <c r="P23" s="55"/>
      <c r="Q23" s="55">
        <v>-46.978839999999991</v>
      </c>
      <c r="R23" s="55">
        <v>-57.101359999999957</v>
      </c>
      <c r="S23" s="55">
        <v>-163.14199999999997</v>
      </c>
      <c r="T23" s="107">
        <v>-157.44216999999998</v>
      </c>
      <c r="U23" s="107">
        <v>-154.73736999999997</v>
      </c>
      <c r="V23" s="107">
        <v>-148.30003999999997</v>
      </c>
      <c r="W23" s="107">
        <v>-140.01016999999996</v>
      </c>
      <c r="X23" s="107">
        <v>-137.63472999999996</v>
      </c>
      <c r="Y23" s="107">
        <v>-143.43704999999997</v>
      </c>
      <c r="Z23" s="107">
        <v>-137.73600999999996</v>
      </c>
      <c r="AA23" s="107">
        <v>-148.96594999999996</v>
      </c>
      <c r="AB23" s="107">
        <v>-149.34983999999997</v>
      </c>
      <c r="AC23" s="107">
        <v>-138.48581999999996</v>
      </c>
    </row>
    <row r="24" spans="1:32" x14ac:dyDescent="0.25">
      <c r="A24" s="107" t="s">
        <v>47</v>
      </c>
      <c r="B24" s="107" t="s">
        <v>47</v>
      </c>
      <c r="C24" s="113">
        <v>-205147.81200000001</v>
      </c>
      <c r="D24" s="55">
        <v>-251991.8200000003</v>
      </c>
      <c r="E24" s="55">
        <v>-3513402.5090000001</v>
      </c>
      <c r="F24" s="55">
        <v>-3601938.963</v>
      </c>
      <c r="G24" s="55">
        <v>-3631357.3080000002</v>
      </c>
      <c r="H24" s="55">
        <v>-3707149.858</v>
      </c>
      <c r="I24" s="55">
        <v>-3800291.568</v>
      </c>
      <c r="J24" s="55">
        <v>-3705582.2370000002</v>
      </c>
      <c r="K24" s="55">
        <v>-3782825.3310000002</v>
      </c>
      <c r="L24" s="55">
        <v>-3802172.5650000004</v>
      </c>
      <c r="M24" s="55">
        <v>-3814697.6160000004</v>
      </c>
      <c r="N24" s="55">
        <v>-3725651.8370000003</v>
      </c>
      <c r="O24" s="55">
        <v>-3723421.9440000001</v>
      </c>
      <c r="P24" s="55"/>
      <c r="Q24" s="113">
        <v>-46.978839999999991</v>
      </c>
      <c r="R24" s="55">
        <v>-57.101359999999772</v>
      </c>
      <c r="S24" s="55">
        <v>-808.43391999999983</v>
      </c>
      <c r="T24" s="107">
        <v>-806.47412999999983</v>
      </c>
      <c r="U24" s="107">
        <v>-791.99902999999983</v>
      </c>
      <c r="V24" s="107">
        <v>-788.14005999999983</v>
      </c>
      <c r="W24" s="107">
        <v>-794.26094999999987</v>
      </c>
      <c r="X24" s="107">
        <v>-775.57836999999984</v>
      </c>
      <c r="Y24" s="107">
        <v>-803.09379999999987</v>
      </c>
      <c r="Z24" s="107">
        <v>-796.55514999999991</v>
      </c>
      <c r="AA24" s="107">
        <v>-842.28523999999993</v>
      </c>
      <c r="AB24" s="107">
        <v>-869.56714999999997</v>
      </c>
      <c r="AC24" s="107">
        <v>-858.99344999999994</v>
      </c>
    </row>
    <row r="25" spans="1:32" x14ac:dyDescent="0.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row>
    <row r="26" spans="1:32" ht="12" customHeight="1" x14ac:dyDescent="0.25">
      <c r="A26" s="54"/>
      <c r="B26" s="5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2" x14ac:dyDescent="0.25">
      <c r="A27" s="54"/>
      <c r="B27" s="5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06d80cc428971849cb5cfe5df495203c">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d45f7a2125e0aff5fe1efeaa82a0ec60"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Props1.xml><?xml version="1.0" encoding="utf-8"?>
<ds:datastoreItem xmlns:ds="http://schemas.openxmlformats.org/officeDocument/2006/customXml" ds:itemID="{162A4F8A-F2B1-4690-9970-C77CF8CE09A4}"/>
</file>

<file path=customXml/itemProps2.xml><?xml version="1.0" encoding="utf-8"?>
<ds:datastoreItem xmlns:ds="http://schemas.openxmlformats.org/officeDocument/2006/customXml" ds:itemID="{18B04F0E-205B-4C5C-9626-04DFD1909959}">
  <ds:schemaRefs>
    <ds:schemaRef ds:uri="http://schemas.microsoft.com/sharepoint/v3/contenttype/forms"/>
  </ds:schemaRefs>
</ds:datastoreItem>
</file>

<file path=customXml/itemProps3.xml><?xml version="1.0" encoding="utf-8"?>
<ds:datastoreItem xmlns:ds="http://schemas.openxmlformats.org/officeDocument/2006/customXml" ds:itemID="{622E4D62-3004-460A-B58C-A7887D84B698}">
  <ds:schemaRefs>
    <ds:schemaRef ds:uri="http://schemas.microsoft.com/office/2006/metadata/properties"/>
    <ds:schemaRef ds:uri="http://schemas.microsoft.com/office/infopath/2007/PartnerControls"/>
    <ds:schemaRef ds:uri="f54c56e8-d46b-4105-983d-5823d8fd43e9"/>
    <ds:schemaRef ds:uri="d5813a71-ed45-4723-a8fb-02e2d19c6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DEUDA ENERO 26</vt:lpstr>
      <vt:lpstr>FOCUS</vt:lpstr>
      <vt:lpstr>PROV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Nancy Valencia Varela</cp:lastModifiedBy>
  <cp:revision/>
  <dcterms:created xsi:type="dcterms:W3CDTF">2022-02-08T13:51:56Z</dcterms:created>
  <dcterms:modified xsi:type="dcterms:W3CDTF">2026-02-09T16:39:07Z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