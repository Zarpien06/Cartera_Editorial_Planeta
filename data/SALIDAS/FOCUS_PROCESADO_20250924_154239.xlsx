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MODELO DEUDA JUNIO 2025" sheetId="1" state="visible" r:id="rId1"/>
    <sheet name="FOCUS" sheetId="2" state="visible" r:id="rId2"/>
    <sheet name="PROV" sheetId="3" state="visible" r:id="rId3"/>
  </sheets>
  <definedNames/>
  <calcPr calcId="191029" fullCalcOnLoad="1"/>
</workbook>
</file>

<file path=xl/styles.xml><?xml version="1.0" encoding="utf-8"?>
<styleSheet xmlns="http://schemas.openxmlformats.org/spreadsheetml/2006/main">
  <numFmts count="11">
    <numFmt numFmtId="164" formatCode="_-* #,##0.00_-;\-* #,##0.00_-;_-* &quot;-&quot;??_-;_-@_-"/>
    <numFmt numFmtId="165" formatCode="_-* #,##0_-;\-* #,##0_-;_-* &quot;-&quot;??_-;_-@_-"/>
    <numFmt numFmtId="166" formatCode="_-* #,##0.00_-;\-* #,##0.00_-;_-* &quot;-&quot;???_-;_-@_-"/>
    <numFmt numFmtId="167" formatCode="_-* #,##0.00\ _€_-;\-* #,##0.00\ _€_-;_-* &quot;-&quot;??\ _€_-;_-@_-"/>
    <numFmt numFmtId="168" formatCode="_-* #,##0\ _€_-;\-* #,##0\ _€_-;_-* &quot;-&quot;??\ _€_-;_-@_-"/>
    <numFmt numFmtId="169" formatCode="#,##0.0"/>
    <numFmt numFmtId="170" formatCode="#,##0.00_ ;\-#,##0.00\ "/>
    <numFmt numFmtId="171" formatCode="_-* #,##0.0000_-;\-* #,##0.0000_-;_-* &quot;-&quot;??_-;_-@_-"/>
    <numFmt numFmtId="172" formatCode="_-* #,##0\ _€_-;\-* #,##0\ _€_-;_-* &quot;-&quot;\ _€_-;_-@_-"/>
    <numFmt numFmtId="173" formatCode="_ * #,##0.00_ ;_ * \-#,##0.00_ ;_ * &quot;-&quot;??_ ;_ @_ "/>
    <numFmt numFmtId="174" formatCode="_ * #,##0_ ;_ * \-#,##0_ ;_ * &quot;-&quot;_ ;_ @_ "/>
  </numFmts>
  <fonts count="39">
    <font>
      <name val="Calibri"/>
      <family val="2"/>
      <color theme="1"/>
      <sz val="11"/>
      <scheme val="minor"/>
    </font>
    <font>
      <name val="Calibri"/>
      <family val="2"/>
      <color theme="1"/>
      <sz val="11"/>
      <scheme val="minor"/>
    </font>
    <font>
      <name val="Calibri"/>
      <family val="2"/>
      <b val="1"/>
      <color theme="3"/>
      <sz val="15"/>
      <scheme val="minor"/>
    </font>
    <font>
      <name val="Arial"/>
      <family val="2"/>
      <sz val="10"/>
    </font>
    <font>
      <name val="Arial"/>
      <family val="2"/>
      <b val="1"/>
      <sz val="14"/>
      <u val="single"/>
    </font>
    <font>
      <name val="Arial"/>
      <family val="2"/>
      <sz val="16"/>
    </font>
    <font>
      <name val="Arial"/>
      <family val="2"/>
      <b val="1"/>
      <sz val="16"/>
    </font>
    <font>
      <name val="Arial"/>
      <family val="2"/>
      <b val="1"/>
      <sz val="10"/>
    </font>
    <font>
      <name val="Arial"/>
      <family val="2"/>
      <b val="1"/>
      <sz val="11"/>
    </font>
    <font>
      <name val="Arial"/>
      <family val="2"/>
      <b val="1"/>
      <sz val="12"/>
    </font>
    <font>
      <name val="Arial"/>
      <family val="2"/>
      <b val="1"/>
      <color theme="0"/>
      <sz val="10"/>
    </font>
    <font>
      <name val="Arial"/>
      <family val="2"/>
      <color theme="0"/>
      <sz val="10"/>
    </font>
    <font>
      <name val="Tahoma"/>
      <family val="2"/>
      <b val="1"/>
      <color indexed="81"/>
      <sz val="9"/>
    </font>
    <font>
      <name val="Tahoma"/>
      <family val="2"/>
      <color indexed="81"/>
      <sz val="9"/>
    </font>
    <font>
      <name val="Arial"/>
      <family val="2"/>
      <b val="1"/>
      <color rgb="FF1F497D"/>
      <sz val="10"/>
    </font>
    <font>
      <name val="Calibri"/>
      <family val="2"/>
      <b val="1"/>
      <color theme="1"/>
      <sz val="11"/>
      <scheme val="minor"/>
    </font>
    <font>
      <name val="Microsoft Sans Serif"/>
      <family val="2"/>
      <b val="1"/>
      <color rgb="FF0069D6"/>
      <sz val="9"/>
    </font>
    <font>
      <name val="Calibri Light"/>
      <family val="2"/>
      <color theme="3"/>
      <sz val="18"/>
      <scheme val="maj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color theme="0"/>
      <sz val="11"/>
      <scheme val="minor"/>
    </font>
    <font>
      <name val="Calibri"/>
      <family val="2"/>
      <color theme="1"/>
      <sz val="10"/>
      <scheme val="minor"/>
    </font>
    <font>
      <name val="Calibri"/>
      <family val="2"/>
      <b val="1"/>
      <color theme="1"/>
      <sz val="10"/>
      <scheme val="minor"/>
    </font>
    <font>
      <name val="Calibri"/>
      <family val="2"/>
      <sz val="11"/>
      <scheme val="minor"/>
    </font>
    <font>
      <name val="Calibri"/>
      <family val="2"/>
      <b val="1"/>
      <color rgb="FFFFFFFF"/>
      <sz val="10"/>
    </font>
    <font>
      <name val="Calibri"/>
      <family val="2"/>
      <color rgb="FF000000"/>
      <sz val="11"/>
    </font>
    <font>
      <name val="Calibri"/>
      <family val="2"/>
      <sz val="10"/>
    </font>
    <font>
      <name val="Calibri"/>
      <family val="2"/>
      <color rgb="FF000000"/>
      <sz val="11"/>
      <scheme val="minor"/>
    </font>
    <font>
      <name val="Arial"/>
      <family val="2"/>
      <sz val="11"/>
    </font>
  </fonts>
  <fills count="57">
    <fill>
      <patternFill/>
    </fill>
    <fill>
      <patternFill patternType="gray125"/>
    </fill>
    <fill>
      <patternFill patternType="solid">
        <fgColor theme="0" tint="-0.249977111117893"/>
        <bgColor indexed="64"/>
      </patternFill>
    </fill>
    <fill>
      <patternFill patternType="solid">
        <fgColor rgb="FF002060"/>
        <bgColor indexed="64"/>
      </patternFill>
    </fill>
    <fill>
      <patternFill patternType="solid">
        <fgColor theme="0" tint="-0.1499984740745262"/>
        <bgColor indexed="64"/>
      </patternFill>
    </fill>
    <fill>
      <patternFill patternType="solid">
        <fgColor theme="1"/>
        <bgColor indexed="64"/>
      </patternFill>
    </fill>
    <fill>
      <patternFill patternType="solid">
        <fgColor theme="0" tint="-0.3499862666707358"/>
        <bgColor indexed="64"/>
      </patternFill>
    </fill>
    <fill>
      <patternFill patternType="solid">
        <fgColor theme="0" tint="-0.499984740745262"/>
        <bgColor indexed="64"/>
      </patternFill>
    </fill>
    <fill>
      <patternFill patternType="solid">
        <fgColor rgb="FF00B0F0"/>
        <bgColor indexed="64"/>
      </patternFill>
    </fill>
    <fill>
      <patternFill patternType="solid">
        <fgColor rgb="FFFFC000"/>
        <bgColor indexed="64"/>
      </patternFill>
    </fill>
    <fill>
      <patternFill patternType="solid">
        <fgColor theme="5" tint="0.7999816888943144"/>
        <bgColor indexed="64"/>
      </patternFill>
    </fill>
    <fill>
      <patternFill patternType="solid">
        <fgColor theme="4" tint="0.5999938962981048"/>
        <bgColor indexed="64"/>
      </patternFill>
    </fill>
    <fill>
      <patternFill patternType="solid">
        <fgColor rgb="FF92D050"/>
        <bgColor indexed="64"/>
      </patternFill>
    </fill>
    <fill>
      <patternFill patternType="solid">
        <fgColor theme="5" tint="0.5999938962981048"/>
        <bgColor indexed="64"/>
      </patternFill>
    </fill>
    <fill>
      <patternFill patternType="solid">
        <fgColor theme="5" tint="0.3999755851924192"/>
        <bgColor indexed="64"/>
      </patternFill>
    </fill>
    <fill>
      <patternFill patternType="solid">
        <fgColor rgb="FF00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B4C6E7"/>
        <bgColor indexed="64"/>
      </patternFill>
    </fill>
    <fill>
      <patternFill patternType="solid">
        <fgColor theme="6" tint="0.5999938962981048"/>
        <bgColor indexed="64"/>
      </patternFill>
    </fill>
    <fill>
      <patternFill patternType="solid">
        <fgColor rgb="FFFCF1AE"/>
        <bgColor indexed="64"/>
      </patternFill>
    </fill>
    <fill>
      <patternFill patternType="solid">
        <fgColor theme="6" tint="0.7999816888943144"/>
        <bgColor indexed="64"/>
      </patternFill>
    </fill>
    <fill>
      <patternFill patternType="solid">
        <fgColor rgb="FFF2F2F2"/>
        <bgColor indexed="64"/>
      </patternFill>
    </fill>
    <fill>
      <patternFill patternType="solid">
        <fgColor rgb="FFFFFF00"/>
        <bgColor indexed="64"/>
      </patternFill>
    </fill>
    <fill>
      <patternFill patternType="solid">
        <fgColor rgb="FFB4C6E7"/>
        <bgColor rgb="FF000000"/>
      </patternFill>
    </fill>
    <fill>
      <patternFill patternType="solid">
        <fgColor theme="4" tint="0.7999816888943144"/>
        <bgColor indexed="64"/>
      </patternFill>
    </fill>
    <fill>
      <patternFill patternType="solid">
        <fgColor theme="9"/>
        <bgColor indexed="64"/>
      </patternFill>
    </fill>
    <fill>
      <patternFill patternType="solid">
        <fgColor theme="7" tint="0.5999938962981048"/>
        <bgColor indexed="64"/>
      </patternFill>
    </fill>
  </fills>
  <borders count="31">
    <border>
      <left/>
      <right/>
      <top/>
      <bottom/>
      <diagonal/>
    </border>
    <border>
      <left/>
      <right/>
      <top/>
      <bottom style="thick">
        <color theme="4"/>
      </bottom>
      <diagonal/>
    </border>
    <border>
      <left style="thin">
        <color rgb="FFC0C0C0"/>
      </left>
      <right style="thin">
        <color rgb="FFC0C0C0"/>
      </right>
      <top style="thin">
        <color rgb="FFC0C0C0"/>
      </top>
      <bottom style="thin">
        <color rgb="FFC0C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rgb="FF808080"/>
      </right>
      <top style="thin">
        <color rgb="FF808080"/>
      </top>
      <bottom style="thin">
        <color rgb="FF808080"/>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rgb="FF9BC2E6"/>
      </bottom>
      <diagonal/>
    </border>
    <border>
      <left/>
      <right/>
      <top/>
      <bottom style="medium">
        <color rgb="FF9BC2E6"/>
      </bottom>
      <diagonal/>
    </border>
    <border>
      <left/>
      <right style="medium">
        <color indexed="64"/>
      </right>
      <top/>
      <bottom style="medium">
        <color rgb="FF9BC2E6"/>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15">
    <xf numFmtId="0" fontId="1" fillId="0" borderId="0"/>
    <xf numFmtId="43" fontId="1" fillId="0" borderId="0"/>
    <xf numFmtId="172" fontId="1" fillId="0" borderId="0"/>
    <xf numFmtId="43" fontId="1" fillId="0" borderId="0"/>
    <xf numFmtId="167" fontId="1" fillId="0" borderId="0"/>
    <xf numFmtId="167" fontId="1" fillId="0" borderId="0"/>
    <xf numFmtId="1" fontId="3" fillId="0" borderId="0"/>
    <xf numFmtId="0" fontId="2" fillId="0" borderId="1"/>
    <xf numFmtId="0" fontId="17" fillId="0" borderId="0"/>
    <xf numFmtId="0" fontId="2" fillId="0" borderId="1"/>
    <xf numFmtId="0" fontId="18" fillId="0" borderId="11"/>
    <xf numFmtId="0" fontId="19" fillId="0" borderId="12"/>
    <xf numFmtId="0" fontId="19" fillId="0" borderId="0"/>
    <xf numFmtId="0" fontId="20" fillId="16" borderId="0"/>
    <xf numFmtId="0" fontId="21" fillId="17" borderId="0"/>
    <xf numFmtId="0" fontId="22" fillId="18" borderId="0"/>
    <xf numFmtId="0" fontId="23" fillId="19" borderId="13"/>
    <xf numFmtId="0" fontId="24" fillId="20" borderId="14"/>
    <xf numFmtId="0" fontId="25" fillId="20" borderId="13"/>
    <xf numFmtId="0" fontId="26" fillId="0" borderId="15"/>
    <xf numFmtId="0" fontId="27" fillId="21" borderId="16"/>
    <xf numFmtId="0" fontId="28" fillId="0" borderId="0"/>
    <xf numFmtId="0" fontId="1" fillId="22" borderId="17"/>
    <xf numFmtId="0" fontId="29" fillId="0" borderId="0"/>
    <xf numFmtId="0" fontId="15" fillId="0" borderId="18"/>
    <xf numFmtId="0" fontId="30" fillId="23" borderId="0"/>
    <xf numFmtId="0" fontId="1" fillId="24" borderId="0"/>
    <xf numFmtId="0" fontId="1" fillId="25" borderId="0"/>
    <xf numFmtId="0" fontId="1" fillId="26" borderId="0"/>
    <xf numFmtId="0" fontId="30" fillId="27" borderId="0"/>
    <xf numFmtId="0" fontId="1" fillId="28" borderId="0"/>
    <xf numFmtId="0" fontId="1" fillId="29" borderId="0"/>
    <xf numFmtId="0" fontId="1" fillId="30" borderId="0"/>
    <xf numFmtId="0" fontId="30" fillId="31" borderId="0"/>
    <xf numFmtId="0" fontId="1" fillId="32" borderId="0"/>
    <xf numFmtId="0" fontId="1" fillId="33" borderId="0"/>
    <xf numFmtId="0" fontId="1" fillId="34" borderId="0"/>
    <xf numFmtId="0" fontId="30" fillId="35" borderId="0"/>
    <xf numFmtId="0" fontId="1" fillId="36" borderId="0"/>
    <xf numFmtId="0" fontId="1" fillId="37" borderId="0"/>
    <xf numFmtId="0" fontId="1" fillId="38" borderId="0"/>
    <xf numFmtId="0" fontId="30" fillId="39" borderId="0"/>
    <xf numFmtId="0" fontId="1" fillId="40" borderId="0"/>
    <xf numFmtId="0" fontId="1" fillId="41" borderId="0"/>
    <xf numFmtId="0" fontId="1" fillId="42" borderId="0"/>
    <xf numFmtId="0" fontId="30" fillId="43" borderId="0"/>
    <xf numFmtId="0" fontId="1" fillId="44" borderId="0"/>
    <xf numFmtId="0" fontId="1" fillId="45" borderId="0"/>
    <xf numFmtId="0" fontId="1" fillId="46" borderId="0"/>
    <xf numFmtId="167"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3" fontId="1" fillId="0" borderId="0"/>
    <xf numFmtId="0" fontId="3" fillId="0" borderId="0"/>
    <xf numFmtId="173" fontId="3" fillId="0" borderId="0"/>
    <xf numFmtId="174" fontId="3" fillId="0" borderId="0"/>
    <xf numFmtId="173" fontId="3" fillId="0" borderId="0"/>
    <xf numFmtId="173" fontId="3"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cellStyleXfs>
  <cellXfs count="276">
    <xf numFmtId="0" fontId="0" fillId="0" borderId="0" pivotButton="0" quotePrefix="0" xfId="0"/>
    <xf numFmtId="0" fontId="3" fillId="0" borderId="0" applyProtection="1" pivotButton="0" quotePrefix="0" xfId="0">
      <protection locked="0" hidden="0"/>
    </xf>
    <xf numFmtId="0" fontId="5" fillId="0" borderId="0" applyProtection="1" pivotButton="0" quotePrefix="0" xfId="0">
      <protection locked="0" hidden="0"/>
    </xf>
    <xf numFmtId="0" fontId="6" fillId="0" borderId="6" applyAlignment="1" applyProtection="1" pivotButton="0" quotePrefix="0" xfId="0">
      <alignment horizontal="center"/>
      <protection locked="0" hidden="0"/>
    </xf>
    <xf numFmtId="17" fontId="7" fillId="0" borderId="0" applyProtection="1" pivotButton="0" quotePrefix="0" xfId="0">
      <protection locked="0" hidden="0"/>
    </xf>
    <xf numFmtId="17" fontId="7"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17" fontId="10" fillId="3" borderId="7" applyAlignment="1" applyProtection="1" pivotButton="0" quotePrefix="0" xfId="6">
      <alignment horizontal="center" vertical="center"/>
      <protection locked="0" hidden="0"/>
    </xf>
    <xf numFmtId="3" fontId="7" fillId="4" borderId="7" applyAlignment="1" applyProtection="1" pivotButton="0" quotePrefix="0" xfId="6">
      <alignment horizontal="left" vertical="center"/>
      <protection locked="0" hidden="0"/>
    </xf>
    <xf numFmtId="0" fontId="3" fillId="0" borderId="0" applyAlignment="1" applyProtection="1" pivotButton="0" quotePrefix="0" xfId="0">
      <alignment horizontal="right" vertical="center"/>
      <protection locked="0" hidden="0"/>
    </xf>
    <xf numFmtId="3" fontId="7" fillId="0" borderId="7" applyAlignment="1" applyProtection="1" pivotButton="0" quotePrefix="1" xfId="6">
      <alignment horizontal="left" vertical="center" indent="1"/>
      <protection locked="0" hidden="0"/>
    </xf>
    <xf numFmtId="3" fontId="7" fillId="0" borderId="7" applyAlignment="1" applyProtection="1" pivotButton="0" quotePrefix="1" xfId="6">
      <alignment horizontal="right" vertical="center"/>
      <protection locked="0" hidden="0"/>
    </xf>
    <xf numFmtId="3" fontId="3" fillId="0" borderId="7" applyAlignment="1" applyProtection="1" pivotButton="0" quotePrefix="1" xfId="6">
      <alignment horizontal="right" vertical="center"/>
      <protection locked="0" hidden="0"/>
    </xf>
    <xf numFmtId="3" fontId="3" fillId="0" borderId="7" applyAlignment="1" applyProtection="1" pivotButton="0" quotePrefix="1" xfId="6">
      <alignment horizontal="left" vertical="center" indent="3"/>
      <protection locked="0" hidden="0"/>
    </xf>
    <xf numFmtId="0" fontId="7" fillId="0" borderId="0" applyAlignment="1" applyProtection="1" pivotButton="0" quotePrefix="0" xfId="0">
      <alignment horizontal="right" vertical="center"/>
      <protection locked="0" hidden="0"/>
    </xf>
    <xf numFmtId="3" fontId="11" fillId="5" borderId="7" applyAlignment="1" applyProtection="1" pivotButton="0" quotePrefix="1" xfId="6">
      <alignment horizontal="right" vertical="center"/>
      <protection locked="0" hidden="0"/>
    </xf>
    <xf numFmtId="3" fontId="7" fillId="6" borderId="7" applyAlignment="1" applyProtection="1" pivotButton="0" quotePrefix="0" xfId="6">
      <alignment horizontal="left" vertical="center"/>
      <protection locked="0" hidden="0"/>
    </xf>
    <xf numFmtId="164" fontId="7" fillId="6" borderId="6" applyAlignment="1" applyProtection="1" pivotButton="0" quotePrefix="0" xfId="1">
      <alignment horizontal="right" vertical="center"/>
      <protection locked="0" hidden="0"/>
    </xf>
    <xf numFmtId="164" fontId="3" fillId="0" borderId="0" applyAlignment="1" applyProtection="1" pivotButton="0" quotePrefix="0" xfId="1">
      <alignment horizontal="right" vertical="center"/>
      <protection locked="0" hidden="0"/>
    </xf>
    <xf numFmtId="3" fontId="7" fillId="6" borderId="6" applyAlignment="1" applyProtection="1" pivotButton="0" quotePrefix="0" xfId="6">
      <alignment horizontal="right" vertical="center"/>
      <protection locked="0" hidden="0"/>
    </xf>
    <xf numFmtId="164" fontId="7" fillId="0" borderId="7" applyAlignment="1" applyProtection="1" pivotButton="0" quotePrefix="1" xfId="3">
      <alignment horizontal="right" vertical="center"/>
      <protection locked="0" hidden="0"/>
    </xf>
    <xf numFmtId="164" fontId="7" fillId="0" borderId="7" applyAlignment="1" applyProtection="1" pivotButton="0" quotePrefix="1" xfId="3">
      <alignment horizontal="right" vertical="center"/>
      <protection locked="0" hidden="0"/>
    </xf>
    <xf numFmtId="164" fontId="7" fillId="0" borderId="7" applyAlignment="1" applyProtection="1" pivotButton="0" quotePrefix="1" xfId="1">
      <alignment horizontal="right" vertical="center"/>
      <protection locked="0" hidden="0"/>
    </xf>
    <xf numFmtId="4" fontId="7" fillId="0" borderId="7" applyAlignment="1" applyProtection="1" pivotButton="0" quotePrefix="1" xfId="6">
      <alignment horizontal="right" vertical="center"/>
      <protection locked="0" hidden="0"/>
    </xf>
    <xf numFmtId="3" fontId="10" fillId="5" borderId="7" applyAlignment="1" applyProtection="1" pivotButton="0" quotePrefix="1" xfId="6">
      <alignment horizontal="right" vertical="center"/>
      <protection locked="0" hidden="0"/>
    </xf>
    <xf numFmtId="3" fontId="7" fillId="6" borderId="7" applyAlignment="1" applyProtection="1" pivotButton="0" quotePrefix="1" xfId="6">
      <alignment horizontal="left" vertical="center"/>
      <protection locked="0" hidden="0"/>
    </xf>
    <xf numFmtId="3" fontId="10" fillId="7" borderId="7" applyAlignment="1" applyProtection="1" pivotButton="0" quotePrefix="0" xfId="6">
      <alignment horizontal="left" vertical="center"/>
      <protection locked="0" hidden="0"/>
    </xf>
    <xf numFmtId="4" fontId="10" fillId="7" borderId="7" applyAlignment="1" applyProtection="1" pivotButton="0" quotePrefix="0" xfId="6">
      <alignment horizontal="right" vertical="center"/>
      <protection locked="0" hidden="0"/>
    </xf>
    <xf numFmtId="165" fontId="10" fillId="7" borderId="7" applyAlignment="1" applyProtection="1" pivotButton="0" quotePrefix="0" xfId="3">
      <alignment horizontal="right" vertical="center"/>
      <protection locked="0" hidden="0"/>
    </xf>
    <xf numFmtId="3" fontId="10" fillId="7" borderId="7" applyAlignment="1" applyProtection="1" pivotButton="0" quotePrefix="0" xfId="6">
      <alignment horizontal="right" vertical="center"/>
      <protection locked="0" hidden="0"/>
    </xf>
    <xf numFmtId="1" fontId="3" fillId="0" borderId="0" applyProtection="1" pivotButton="0" quotePrefix="0" xfId="6">
      <protection locked="0" hidden="0"/>
    </xf>
    <xf numFmtId="3" fontId="3" fillId="0" borderId="0" applyProtection="1" pivotButton="0" quotePrefix="0" xfId="0">
      <protection locked="0" hidden="0"/>
    </xf>
    <xf numFmtId="165" fontId="7" fillId="0" borderId="7" applyAlignment="1" applyProtection="1" pivotButton="0" quotePrefix="1" xfId="3">
      <alignment horizontal="right" vertical="center"/>
      <protection locked="0" hidden="0"/>
    </xf>
    <xf numFmtId="165" fontId="7" fillId="0" borderId="7" applyAlignment="1" applyProtection="1" pivotButton="0" quotePrefix="1" xfId="1">
      <alignment horizontal="center" vertical="center"/>
      <protection locked="0" hidden="0"/>
    </xf>
    <xf numFmtId="164" fontId="7" fillId="0" borderId="7" applyAlignment="1" applyProtection="1" pivotButton="0" quotePrefix="1" xfId="3">
      <alignment horizontal="center" vertical="center"/>
      <protection locked="0" hidden="0"/>
    </xf>
    <xf numFmtId="164" fontId="7" fillId="6" borderId="6" applyAlignment="1" applyProtection="1" pivotButton="0" quotePrefix="0" xfId="3">
      <alignment horizontal="right" vertical="center"/>
      <protection locked="0" hidden="0"/>
    </xf>
    <xf numFmtId="4" fontId="3" fillId="0" borderId="0" applyAlignment="1" applyProtection="1" pivotButton="0" quotePrefix="0" xfId="0">
      <alignment horizontal="right" vertical="center"/>
      <protection locked="0" hidden="0"/>
    </xf>
    <xf numFmtId="4" fontId="7" fillId="0" borderId="0" applyAlignment="1" applyProtection="1" pivotButton="0" quotePrefix="0" xfId="0">
      <alignment horizontal="right" vertical="center"/>
      <protection locked="0" hidden="0"/>
    </xf>
    <xf numFmtId="4" fontId="7" fillId="6" borderId="6" applyAlignment="1" applyProtection="1" pivotButton="0" quotePrefix="0" xfId="6">
      <alignment horizontal="right" vertical="center"/>
      <protection locked="0" hidden="0"/>
    </xf>
    <xf numFmtId="4" fontId="7" fillId="6" borderId="6" applyAlignment="1" applyProtection="1" pivotButton="0" quotePrefix="0" xfId="1">
      <alignment horizontal="right" vertical="center"/>
      <protection locked="0" hidden="0"/>
    </xf>
    <xf numFmtId="3" fontId="3" fillId="0" borderId="7" applyAlignment="1" applyProtection="1" pivotButton="0" quotePrefix="1" xfId="6">
      <alignment horizontal="center" vertical="center"/>
      <protection locked="0" hidden="0"/>
    </xf>
    <xf numFmtId="165" fontId="3" fillId="0" borderId="0" applyAlignment="1" applyProtection="1" pivotButton="0" quotePrefix="0" xfId="1">
      <alignment horizontal="right" vertical="center"/>
      <protection locked="0" hidden="0"/>
    </xf>
    <xf numFmtId="165" fontId="3" fillId="0" borderId="7" applyAlignment="1" applyProtection="1" pivotButton="0" quotePrefix="1" xfId="1">
      <alignment horizontal="right" vertical="center"/>
      <protection locked="0" hidden="0"/>
    </xf>
    <xf numFmtId="164" fontId="0" fillId="0" borderId="0" pivotButton="0" quotePrefix="0" xfId="1"/>
    <xf numFmtId="4" fontId="3" fillId="0" borderId="0" applyProtection="1" pivotButton="0" quotePrefix="0" xfId="0">
      <protection locked="0" hidden="0"/>
    </xf>
    <xf numFmtId="0" fontId="14" fillId="0" borderId="0" applyAlignment="1" pivotButton="0" quotePrefix="0" xfId="0">
      <alignment vertical="center"/>
    </xf>
    <xf numFmtId="4" fontId="7" fillId="0" borderId="7" applyAlignment="1" applyProtection="1" pivotButton="0" quotePrefix="1" xfId="3">
      <alignment horizontal="right" vertical="center"/>
      <protection locked="0" hidden="0"/>
    </xf>
    <xf numFmtId="164" fontId="10" fillId="7" borderId="7" applyAlignment="1" applyProtection="1" pivotButton="0" quotePrefix="0" xfId="3">
      <alignment horizontal="right" vertical="center"/>
      <protection locked="0" hidden="0"/>
    </xf>
    <xf numFmtId="164" fontId="7" fillId="0" borderId="7" applyAlignment="1" applyProtection="1" pivotButton="0" quotePrefix="0" xfId="3">
      <alignment horizontal="right" vertical="center"/>
      <protection locked="0" hidden="0"/>
    </xf>
    <xf numFmtId="165" fontId="3" fillId="0" borderId="0" applyAlignment="1" applyProtection="1" pivotButton="0" quotePrefix="0" xfId="0">
      <alignment horizontal="right" vertical="center"/>
      <protection locked="0" hidden="0"/>
    </xf>
    <xf numFmtId="164" fontId="7" fillId="8" borderId="0" applyProtection="1" pivotButton="0" quotePrefix="0" xfId="1">
      <protection locked="0" hidden="0"/>
    </xf>
    <xf numFmtId="164" fontId="3" fillId="0" borderId="0" applyProtection="1" pivotButton="0" quotePrefix="0" xfId="1">
      <protection locked="0" hidden="0"/>
    </xf>
    <xf numFmtId="164" fontId="7" fillId="0" borderId="0" applyProtection="1" pivotButton="0" quotePrefix="0" xfId="1">
      <protection locked="0" hidden="0"/>
    </xf>
    <xf numFmtId="164" fontId="3" fillId="9" borderId="0" applyProtection="1" pivotButton="0" quotePrefix="0" xfId="1">
      <protection locked="0" hidden="0"/>
    </xf>
    <xf numFmtId="165" fontId="3" fillId="11" borderId="7" applyAlignment="1" applyProtection="1" pivotButton="0" quotePrefix="1" xfId="1">
      <alignment horizontal="center" vertical="center"/>
      <protection locked="0" hidden="0"/>
    </xf>
    <xf numFmtId="164" fontId="3" fillId="0" borderId="0" applyAlignment="1" applyProtection="1" pivotButton="0" quotePrefix="0" xfId="0">
      <alignment horizontal="center" vertical="center"/>
      <protection locked="0" hidden="0"/>
    </xf>
    <xf numFmtId="164" fontId="3" fillId="0" borderId="0" applyProtection="1" pivotButton="0" quotePrefix="0" xfId="0">
      <protection locked="0" hidden="0"/>
    </xf>
    <xf numFmtId="0" fontId="15" fillId="0" borderId="0" pivotButton="0" quotePrefix="0" xfId="0"/>
    <xf numFmtId="166" fontId="7" fillId="14" borderId="0" applyProtection="1" pivotButton="0" quotePrefix="0" xfId="0">
      <protection locked="0" hidden="0"/>
    </xf>
    <xf numFmtId="164" fontId="7" fillId="8" borderId="7" applyAlignment="1" applyProtection="1" pivotButton="0" quotePrefix="1" xfId="3">
      <alignment horizontal="right" vertical="center"/>
      <protection locked="0" hidden="0"/>
    </xf>
    <xf numFmtId="0" fontId="3" fillId="8" borderId="0" applyAlignment="1" applyProtection="1" pivotButton="0" quotePrefix="0" xfId="0">
      <alignment horizontal="right" vertical="center"/>
      <protection locked="0" hidden="0"/>
    </xf>
    <xf numFmtId="3" fontId="3" fillId="8" borderId="7" applyAlignment="1" applyProtection="1" pivotButton="0" quotePrefix="1" xfId="6">
      <alignment horizontal="right" vertical="center"/>
      <protection locked="0" hidden="0"/>
    </xf>
    <xf numFmtId="164" fontId="7" fillId="7" borderId="7" applyAlignment="1" applyProtection="1" pivotButton="0" quotePrefix="0" xfId="1">
      <alignment horizontal="right" vertical="center"/>
      <protection locked="0" hidden="0"/>
    </xf>
    <xf numFmtId="164" fontId="7" fillId="0" borderId="7" applyAlignment="1" applyProtection="1" pivotButton="0" quotePrefix="0" xfId="1">
      <alignment horizontal="right" vertical="center"/>
      <protection locked="0" hidden="0"/>
    </xf>
    <xf numFmtId="3" fontId="7" fillId="0" borderId="7" applyAlignment="1" applyProtection="1" pivotButton="0" quotePrefix="0" xfId="6">
      <alignment horizontal="left" vertical="center"/>
      <protection locked="0" hidden="0"/>
    </xf>
    <xf numFmtId="3" fontId="7" fillId="0" borderId="9" applyAlignment="1" applyProtection="1" pivotButton="0" quotePrefix="0" xfId="6">
      <alignment horizontal="right" vertical="center"/>
      <protection locked="0" hidden="0"/>
    </xf>
    <xf numFmtId="165" fontId="7" fillId="0" borderId="0" applyAlignment="1" applyProtection="1" pivotButton="0" quotePrefix="0" xfId="0">
      <alignment horizontal="right" vertical="center"/>
      <protection locked="0" hidden="0"/>
    </xf>
    <xf numFmtId="3" fontId="7" fillId="0" borderId="7" applyAlignment="1" applyProtection="1" pivotButton="0" quotePrefix="1" xfId="6">
      <alignment horizontal="center" vertical="center"/>
      <protection locked="0" hidden="0"/>
    </xf>
    <xf numFmtId="167" fontId="7" fillId="6" borderId="6" applyAlignment="1" applyProtection="1" pivotButton="0" quotePrefix="0" xfId="4">
      <alignment horizontal="right" vertical="center"/>
      <protection locked="0" hidden="0"/>
    </xf>
    <xf numFmtId="3" fontId="7" fillId="7" borderId="7" applyAlignment="1" applyProtection="1" pivotButton="0" quotePrefix="0" xfId="6">
      <alignment horizontal="right" vertical="center"/>
      <protection locked="0" hidden="0"/>
    </xf>
    <xf numFmtId="168" fontId="7" fillId="7" borderId="7" applyAlignment="1" applyProtection="1" pivotButton="0" quotePrefix="0" xfId="4">
      <alignment horizontal="right" vertical="center"/>
      <protection locked="0" hidden="0"/>
    </xf>
    <xf numFmtId="4" fontId="7" fillId="7" borderId="7" applyAlignment="1" applyProtection="1" pivotButton="0" quotePrefix="0" xfId="6">
      <alignment horizontal="right" vertical="center"/>
      <protection locked="0" hidden="0"/>
    </xf>
    <xf numFmtId="169" fontId="7" fillId="0" borderId="7" applyAlignment="1" applyProtection="1" pivotButton="0" quotePrefix="1" xfId="6">
      <alignment horizontal="right" vertical="center"/>
      <protection locked="0" hidden="0"/>
    </xf>
    <xf numFmtId="164" fontId="3" fillId="8" borderId="0" applyProtection="1" pivotButton="0" quotePrefix="0" xfId="1">
      <protection locked="0" hidden="0"/>
    </xf>
    <xf numFmtId="2" fontId="3" fillId="0" borderId="0" applyProtection="1" pivotButton="0" quotePrefix="0" xfId="0">
      <protection locked="0" hidden="0"/>
    </xf>
    <xf numFmtId="0" fontId="0" fillId="0" borderId="2" applyProtection="1" pivotButton="0" quotePrefix="0" xfId="0">
      <protection locked="0" hidden="0"/>
    </xf>
    <xf numFmtId="164" fontId="3" fillId="0" borderId="0" applyAlignment="1" applyProtection="1" pivotButton="0" quotePrefix="0" xfId="1">
      <alignment horizontal="center" vertical="center"/>
      <protection locked="0" hidden="0"/>
    </xf>
    <xf numFmtId="164" fontId="0" fillId="0" borderId="2" applyProtection="1" pivotButton="0" quotePrefix="0" xfId="1">
      <protection locked="0" hidden="0"/>
    </xf>
    <xf numFmtId="170" fontId="3"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164" fontId="32" fillId="0" borderId="0" pivotButton="0" quotePrefix="0" xfId="1"/>
    <xf numFmtId="0" fontId="32" fillId="0" borderId="0" pivotButton="0" quotePrefix="0" xfId="0"/>
    <xf numFmtId="164" fontId="32" fillId="48" borderId="0" pivotButton="0" quotePrefix="0" xfId="1"/>
    <xf numFmtId="0" fontId="32" fillId="48" borderId="0" pivotButton="0" quotePrefix="0" xfId="0"/>
    <xf numFmtId="0" fontId="31" fillId="0" borderId="0" pivotButton="0" quotePrefix="0" xfId="0"/>
    <xf numFmtId="164" fontId="7" fillId="15" borderId="9" applyAlignment="1" applyProtection="1" pivotButton="0" quotePrefix="0" xfId="1">
      <alignment horizontal="right" vertical="center"/>
      <protection locked="0" hidden="0"/>
    </xf>
    <xf numFmtId="171" fontId="3" fillId="0" borderId="0" applyAlignment="1" applyProtection="1" pivotButton="0" quotePrefix="0" xfId="1">
      <alignment horizontal="right" vertical="center"/>
      <protection locked="0" hidden="0"/>
    </xf>
    <xf numFmtId="0" fontId="34" fillId="3" borderId="19" applyAlignment="1" pivotButton="0" quotePrefix="0" xfId="0">
      <alignment vertical="center"/>
    </xf>
    <xf numFmtId="0" fontId="34" fillId="3" borderId="20" applyAlignment="1" pivotButton="0" quotePrefix="0" xfId="0">
      <alignment horizontal="center" vertical="center" wrapText="1"/>
    </xf>
    <xf numFmtId="0" fontId="15" fillId="0" borderId="2" applyProtection="1" pivotButton="0" quotePrefix="0" xfId="0">
      <protection locked="0" hidden="0"/>
    </xf>
    <xf numFmtId="0" fontId="15" fillId="0" borderId="2" applyProtection="1" pivotButton="0" quotePrefix="1" xfId="0">
      <protection locked="0" hidden="0"/>
    </xf>
    <xf numFmtId="164" fontId="0" fillId="0" borderId="2" applyProtection="1" pivotButton="0" quotePrefix="0" xfId="1">
      <protection locked="0" hidden="0"/>
    </xf>
    <xf numFmtId="164" fontId="32" fillId="10" borderId="0" pivotButton="0" quotePrefix="0" xfId="1"/>
    <xf numFmtId="0" fontId="15" fillId="10" borderId="2" applyProtection="1" pivotButton="0" quotePrefix="0" xfId="0">
      <protection locked="0" hidden="0"/>
    </xf>
    <xf numFmtId="0" fontId="32" fillId="10" borderId="0" pivotButton="0" quotePrefix="0" xfId="0"/>
    <xf numFmtId="0" fontId="35" fillId="47" borderId="21" applyAlignment="1" pivotButton="0" quotePrefix="0" xfId="0">
      <alignment horizontal="center" vertical="center"/>
    </xf>
    <xf numFmtId="0" fontId="34" fillId="3" borderId="22" applyAlignment="1" pivotButton="0" quotePrefix="0" xfId="0">
      <alignment horizontal="center" vertical="center" wrapText="1"/>
    </xf>
    <xf numFmtId="0" fontId="34" fillId="3" borderId="23" applyAlignment="1" pivotButton="0" quotePrefix="0" xfId="0">
      <alignment horizontal="center" vertical="center" wrapText="1"/>
    </xf>
    <xf numFmtId="0" fontId="34" fillId="3" borderId="24" applyAlignment="1" pivotButton="0" quotePrefix="0" xfId="0">
      <alignment horizontal="center" vertical="center" wrapText="1"/>
    </xf>
    <xf numFmtId="164" fontId="15" fillId="52" borderId="2" applyProtection="1" pivotButton="0" quotePrefix="0" xfId="1">
      <protection locked="0" hidden="0"/>
    </xf>
    <xf numFmtId="4" fontId="37" fillId="0" borderId="7" applyAlignment="1" pivotButton="0" quotePrefix="0" xfId="0">
      <alignment horizontal="center"/>
    </xf>
    <xf numFmtId="165" fontId="0" fillId="0" borderId="2" applyProtection="1" pivotButton="0" quotePrefix="0" xfId="1">
      <protection locked="0" hidden="0"/>
    </xf>
    <xf numFmtId="165" fontId="0" fillId="0" borderId="2" applyProtection="1" pivotButton="0" quotePrefix="0" xfId="1">
      <protection locked="0" hidden="0"/>
    </xf>
    <xf numFmtId="165" fontId="0" fillId="0" borderId="0" pivotButton="0" quotePrefix="0" xfId="1"/>
    <xf numFmtId="165" fontId="15" fillId="0" borderId="2" applyProtection="1" pivotButton="0" quotePrefix="0" xfId="1">
      <protection locked="0" hidden="0"/>
    </xf>
    <xf numFmtId="165" fontId="15" fillId="0" borderId="0" pivotButton="0" quotePrefix="0" xfId="1"/>
    <xf numFmtId="165" fontId="33" fillId="0" borderId="0" pivotButton="0" quotePrefix="0" xfId="1"/>
    <xf numFmtId="165" fontId="15" fillId="52" borderId="2" applyProtection="1" pivotButton="0" quotePrefix="0" xfId="1">
      <protection locked="0" hidden="0"/>
    </xf>
    <xf numFmtId="165" fontId="15" fillId="52" borderId="0" pivotButton="0" quotePrefix="0" xfId="1"/>
    <xf numFmtId="164" fontId="15" fillId="0" borderId="2" applyProtection="1" pivotButton="0" quotePrefix="0" xfId="1">
      <protection locked="0" hidden="0"/>
    </xf>
    <xf numFmtId="165" fontId="32" fillId="0" borderId="0" pivotButton="0" quotePrefix="0" xfId="1"/>
    <xf numFmtId="165" fontId="31" fillId="0" borderId="0" pivotButton="0" quotePrefix="0" xfId="1"/>
    <xf numFmtId="14" fontId="37" fillId="53" borderId="7" applyAlignment="1" pivotButton="0" quotePrefix="0" xfId="0">
      <alignment horizontal="center"/>
    </xf>
    <xf numFmtId="4" fontId="37" fillId="0" borderId="7" pivotButton="0" quotePrefix="0" xfId="0"/>
    <xf numFmtId="37" fontId="3" fillId="0" borderId="0" applyProtection="1" pivotButton="0" quotePrefix="0" xfId="0">
      <protection locked="0" hidden="0"/>
    </xf>
    <xf numFmtId="165" fontId="15" fillId="0" borderId="2" applyProtection="1" pivotButton="0" quotePrefix="0" xfId="1">
      <protection locked="0" hidden="0"/>
    </xf>
    <xf numFmtId="165" fontId="0" fillId="50" borderId="2" applyProtection="1" pivotButton="0" quotePrefix="0" xfId="1">
      <protection locked="0" hidden="0"/>
    </xf>
    <xf numFmtId="165" fontId="31" fillId="50" borderId="0" pivotButton="0" quotePrefix="0" xfId="1"/>
    <xf numFmtId="165" fontId="3" fillId="0" borderId="0" applyProtection="1" pivotButton="0" quotePrefix="0" xfId="1">
      <protection locked="0" hidden="0"/>
    </xf>
    <xf numFmtId="0" fontId="0" fillId="0" borderId="2" applyProtection="1" pivotButton="0" quotePrefix="1" xfId="0">
      <protection locked="0" hidden="0"/>
    </xf>
    <xf numFmtId="165" fontId="1" fillId="0" borderId="2" applyProtection="1" pivotButton="0" quotePrefix="0" xfId="1">
      <protection locked="0" hidden="0"/>
    </xf>
    <xf numFmtId="164" fontId="15" fillId="56" borderId="2" applyProtection="1" pivotButton="0" quotePrefix="0" xfId="1">
      <protection locked="0" hidden="0"/>
    </xf>
    <xf numFmtId="165" fontId="15" fillId="56" borderId="2" applyProtection="1" pivotButton="0" quotePrefix="0" xfId="1">
      <protection locked="0" hidden="0"/>
    </xf>
    <xf numFmtId="165" fontId="15" fillId="56" borderId="0" pivotButton="0" quotePrefix="0" xfId="1"/>
    <xf numFmtId="0" fontId="15" fillId="56" borderId="2" applyProtection="1" pivotButton="0" quotePrefix="0" xfId="0">
      <protection locked="0" hidden="0"/>
    </xf>
    <xf numFmtId="1" fontId="4" fillId="0" borderId="0" applyAlignment="1" applyProtection="1" pivotButton="0" quotePrefix="0" xfId="6">
      <alignment horizontal="center"/>
      <protection locked="0" hidden="0"/>
    </xf>
    <xf numFmtId="164" fontId="15" fillId="0" borderId="2" applyProtection="1" pivotButton="0" quotePrefix="1" xfId="1">
      <protection locked="0" hidden="0"/>
    </xf>
    <xf numFmtId="164" fontId="15" fillId="0" borderId="2" applyProtection="1" pivotButton="0" quotePrefix="0" xfId="1">
      <protection locked="0" hidden="0"/>
    </xf>
    <xf numFmtId="164" fontId="15" fillId="49" borderId="2" applyProtection="1" pivotButton="0" quotePrefix="0" xfId="1">
      <protection locked="0" hidden="0"/>
    </xf>
    <xf numFmtId="164" fontId="15" fillId="13" borderId="2" applyProtection="1" pivotButton="0" quotePrefix="0" xfId="1">
      <protection locked="0" hidden="0"/>
    </xf>
    <xf numFmtId="164" fontId="32" fillId="13" borderId="0" pivotButton="0" quotePrefix="0" xfId="1"/>
    <xf numFmtId="170" fontId="3" fillId="0" borderId="0" applyProtection="1" pivotButton="0" quotePrefix="0" xfId="0">
      <protection locked="0" hidden="0"/>
    </xf>
    <xf numFmtId="164" fontId="3" fillId="9" borderId="7" applyAlignment="1" applyProtection="1" pivotButton="0" quotePrefix="1" xfId="1">
      <alignment horizontal="right" vertical="center"/>
      <protection locked="0" hidden="0"/>
    </xf>
    <xf numFmtId="164" fontId="3" fillId="13" borderId="7" applyAlignment="1" applyProtection="1" pivotButton="0" quotePrefix="1" xfId="1">
      <alignment horizontal="center" vertical="center"/>
      <protection locked="0" hidden="0"/>
    </xf>
    <xf numFmtId="164" fontId="3" fillId="0" borderId="7" applyAlignment="1" applyProtection="1" pivotButton="0" quotePrefix="1" xfId="1">
      <alignment horizontal="center" vertical="center"/>
      <protection locked="0" hidden="0"/>
    </xf>
    <xf numFmtId="171" fontId="3" fillId="0" borderId="7" applyAlignment="1" applyProtection="1" pivotButton="0" quotePrefix="1" xfId="1">
      <alignment horizontal="center" vertical="center"/>
      <protection locked="0" hidden="0"/>
    </xf>
    <xf numFmtId="164" fontId="3" fillId="12" borderId="7" applyAlignment="1" applyProtection="1" pivotButton="0" quotePrefix="1" xfId="1">
      <alignment horizontal="center" vertical="center"/>
      <protection locked="0" hidden="0"/>
    </xf>
    <xf numFmtId="164" fontId="3" fillId="0" borderId="7" applyAlignment="1" applyProtection="1" pivotButton="0" quotePrefix="1" xfId="1">
      <alignment horizontal="right" vertical="center"/>
      <protection locked="0" hidden="0"/>
    </xf>
    <xf numFmtId="164" fontId="7" fillId="4" borderId="9" applyAlignment="1" applyProtection="1" pivotButton="0" quotePrefix="0" xfId="1">
      <alignment horizontal="right" vertical="center"/>
      <protection locked="0" hidden="0"/>
    </xf>
    <xf numFmtId="164" fontId="7" fillId="4" borderId="7" applyAlignment="1" applyProtection="1" pivotButton="0" quotePrefix="0" xfId="1">
      <alignment horizontal="right" vertical="center"/>
      <protection locked="0" hidden="0"/>
    </xf>
    <xf numFmtId="165" fontId="16" fillId="54" borderId="10" applyAlignment="1" pivotButton="0" quotePrefix="0" xfId="1">
      <alignment horizontal="right" vertical="top"/>
    </xf>
    <xf numFmtId="1" fontId="4" fillId="0" borderId="0" applyAlignment="1" applyProtection="1" pivotButton="0" quotePrefix="0" xfId="6">
      <alignment horizontal="center"/>
      <protection locked="0" hidden="0"/>
    </xf>
    <xf numFmtId="0" fontId="6" fillId="0" borderId="3" applyAlignment="1" applyProtection="1" pivotButton="0" quotePrefix="0" xfId="0">
      <alignment horizontal="left" vertical="center"/>
      <protection locked="0" hidden="0"/>
    </xf>
    <xf numFmtId="0" fontId="6" fillId="0" borderId="4" applyAlignment="1" applyProtection="1" pivotButton="0" quotePrefix="0" xfId="0">
      <alignment horizontal="left" vertical="center"/>
      <protection locked="0" hidden="0"/>
    </xf>
    <xf numFmtId="0" fontId="6" fillId="0" borderId="5" applyAlignment="1" applyProtection="1" pivotButton="0" quotePrefix="0" xfId="0">
      <alignment horizontal="left" vertical="center"/>
      <protection locked="0" hidden="0"/>
    </xf>
    <xf numFmtId="0" fontId="8" fillId="0" borderId="7"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protection locked="0" hidden="0"/>
    </xf>
    <xf numFmtId="17" fontId="7" fillId="0" borderId="7" applyAlignment="1" applyProtection="1" pivotButton="0" quotePrefix="0" xfId="0">
      <alignment horizontal="center" vertical="center" wrapText="1"/>
      <protection locked="0" hidden="0"/>
    </xf>
    <xf numFmtId="4" fontId="7" fillId="0" borderId="3" applyAlignment="1" applyProtection="1" pivotButton="0" quotePrefix="0" xfId="0">
      <alignment horizontal="center" vertical="center"/>
      <protection locked="0" hidden="0"/>
    </xf>
    <xf numFmtId="4" fontId="7" fillId="0" borderId="5" applyAlignment="1" applyProtection="1" pivotButton="0" quotePrefix="0" xfId="0">
      <alignment horizontal="center" vertical="center"/>
      <protection locked="0" hidden="0"/>
    </xf>
    <xf numFmtId="4" fontId="7" fillId="0" borderId="7"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7" fillId="2" borderId="3" applyAlignment="1" applyProtection="1" pivotButton="0" quotePrefix="0" xfId="0">
      <alignment horizontal="center" vertical="center"/>
      <protection locked="0" hidden="0"/>
    </xf>
    <xf numFmtId="0" fontId="7" fillId="2" borderId="4" applyAlignment="1" applyProtection="1" pivotButton="0" quotePrefix="0" xfId="0">
      <alignment horizontal="center" vertical="center"/>
      <protection locked="0" hidden="0"/>
    </xf>
    <xf numFmtId="0" fontId="7" fillId="2" borderId="5" applyAlignment="1" applyProtection="1" pivotButton="0" quotePrefix="0" xfId="0">
      <alignment horizontal="center" vertical="center"/>
      <protection locked="0" hidden="0"/>
    </xf>
    <xf numFmtId="17" fontId="7" fillId="0" borderId="7" applyAlignment="1" applyProtection="1" pivotButton="0" quotePrefix="0" xfId="0">
      <alignment horizontal="center" vertical="center"/>
      <protection locked="0" hidden="0"/>
    </xf>
    <xf numFmtId="0" fontId="7" fillId="2" borderId="0" applyAlignment="1" applyProtection="1" pivotButton="0" quotePrefix="0" xfId="0">
      <alignment horizontal="center" vertical="center"/>
      <protection locked="0" hidden="0"/>
    </xf>
    <xf numFmtId="17" fontId="10" fillId="3" borderId="0" applyAlignment="1" applyProtection="1" pivotButton="0" quotePrefix="0" xfId="6">
      <alignment horizontal="center" vertical="center"/>
      <protection locked="0" hidden="0"/>
    </xf>
    <xf numFmtId="164" fontId="7" fillId="4" borderId="0" applyAlignment="1" applyProtection="1" pivotButton="0" quotePrefix="0" xfId="1">
      <alignment horizontal="right" vertical="center"/>
      <protection locked="0" hidden="0"/>
    </xf>
    <xf numFmtId="4" fontId="7" fillId="0" borderId="0" applyAlignment="1" applyProtection="1" pivotButton="0" quotePrefix="1" xfId="6">
      <alignment horizontal="right" vertical="center"/>
      <protection locked="0" hidden="0"/>
    </xf>
    <xf numFmtId="164" fontId="7" fillId="6" borderId="0" applyAlignment="1" applyProtection="1" pivotButton="0" quotePrefix="0" xfId="1">
      <alignment horizontal="right" vertical="center"/>
      <protection locked="0" hidden="0"/>
    </xf>
    <xf numFmtId="4" fontId="7" fillId="0" borderId="0" applyAlignment="1" applyProtection="1" pivotButton="0" quotePrefix="1" xfId="3">
      <alignment horizontal="right" vertical="center"/>
      <protection locked="0" hidden="0"/>
    </xf>
    <xf numFmtId="4" fontId="7" fillId="6" borderId="0" applyAlignment="1" applyProtection="1" pivotButton="0" quotePrefix="0" xfId="1">
      <alignment horizontal="right" vertical="center"/>
      <protection locked="0" hidden="0"/>
    </xf>
    <xf numFmtId="164" fontId="10" fillId="7" borderId="0" applyAlignment="1" applyProtection="1" pivotButton="0" quotePrefix="0" xfId="3">
      <alignment horizontal="right" vertical="center"/>
      <protection locked="0" hidden="0"/>
    </xf>
    <xf numFmtId="164" fontId="7" fillId="0" borderId="0" applyAlignment="1" applyProtection="1" pivotButton="0" quotePrefix="0" xfId="3">
      <alignment horizontal="right" vertical="center"/>
      <protection locked="0" hidden="0"/>
    </xf>
    <xf numFmtId="164" fontId="7" fillId="0" borderId="0" applyAlignment="1" applyProtection="1" pivotButton="0" quotePrefix="1" xfId="3">
      <alignment horizontal="right" vertical="center"/>
      <protection locked="0" hidden="0"/>
    </xf>
    <xf numFmtId="164" fontId="7" fillId="6" borderId="0" applyAlignment="1" applyProtection="1" pivotButton="0" quotePrefix="0" xfId="3">
      <alignment horizontal="right" vertical="center"/>
      <protection locked="0" hidden="0"/>
    </xf>
    <xf numFmtId="167" fontId="7" fillId="6" borderId="0" applyAlignment="1" applyProtection="1" pivotButton="0" quotePrefix="0" xfId="4">
      <alignment horizontal="right" vertical="center"/>
      <protection locked="0" hidden="0"/>
    </xf>
    <xf numFmtId="4" fontId="7" fillId="7" borderId="0" applyAlignment="1" applyProtection="1" pivotButton="0" quotePrefix="0" xfId="6">
      <alignment horizontal="right" vertical="center"/>
      <protection locked="0" hidden="0"/>
    </xf>
    <xf numFmtId="0" fontId="7" fillId="0" borderId="0" applyProtection="1" pivotButton="0" quotePrefix="0" xfId="0">
      <protection locked="0" hidden="0"/>
    </xf>
    <xf numFmtId="0" fontId="3" fillId="0" borderId="21" applyProtection="1" pivotButton="0" quotePrefix="0" xfId="0">
      <protection locked="0" hidden="0"/>
    </xf>
    <xf numFmtId="39" fontId="16" fillId="51" borderId="21" applyAlignment="1" pivotButton="0" quotePrefix="0" xfId="0">
      <alignment horizontal="right" vertical="top"/>
    </xf>
    <xf numFmtId="167" fontId="36" fillId="55" borderId="21" applyAlignment="1" pivotButton="0" quotePrefix="0" xfId="49">
      <alignment horizontal="center"/>
    </xf>
    <xf numFmtId="164" fontId="3" fillId="52" borderId="21" applyProtection="1" pivotButton="0" quotePrefix="0" xfId="1">
      <protection locked="0" hidden="0"/>
    </xf>
    <xf numFmtId="14" fontId="38" fillId="0" borderId="21" applyProtection="1" pivotButton="0" quotePrefix="0" xfId="0">
      <protection locked="0" hidden="0"/>
    </xf>
    <xf numFmtId="4" fontId="37" fillId="56" borderId="21" pivotButton="0" quotePrefix="0" xfId="0"/>
    <xf numFmtId="165" fontId="3" fillId="0" borderId="0" applyProtection="1" pivotButton="0" quotePrefix="0" xfId="0">
      <protection locked="0" hidden="0"/>
    </xf>
    <xf numFmtId="0" fontId="0" fillId="0" borderId="0" applyProtection="1" pivotButton="0" quotePrefix="0" xfId="0">
      <protection locked="0" hidden="0"/>
    </xf>
    <xf numFmtId="0" fontId="6" fillId="0" borderId="7" applyAlignment="1" applyProtection="1" pivotButton="0" quotePrefix="0" xfId="0">
      <alignment horizontal="left" vertical="center"/>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0" fillId="0" borderId="26" applyProtection="1" pivotButton="0" quotePrefix="0" xfId="0">
      <protection locked="0" hidden="0"/>
    </xf>
    <xf numFmtId="0" fontId="0" fillId="0" borderId="27" applyProtection="1" pivotButton="0" quotePrefix="0" xfId="0">
      <protection locked="0" hidden="0"/>
    </xf>
    <xf numFmtId="0" fontId="0" fillId="0" borderId="28" applyProtection="1" pivotButton="0" quotePrefix="0" xfId="0">
      <protection locked="0" hidden="0"/>
    </xf>
    <xf numFmtId="164" fontId="7" fillId="8" borderId="0" applyProtection="1" pivotButton="0" quotePrefix="0" xfId="1">
      <protection locked="0" hidden="0"/>
    </xf>
    <xf numFmtId="164" fontId="3" fillId="0" borderId="0" applyProtection="1" pivotButton="0" quotePrefix="0" xfId="1">
      <protection locked="0" hidden="0"/>
    </xf>
    <xf numFmtId="0" fontId="0" fillId="0" borderId="29" applyProtection="1" pivotButton="0" quotePrefix="0" xfId="0">
      <protection locked="0" hidden="0"/>
    </xf>
    <xf numFmtId="0" fontId="0" fillId="0" borderId="30" applyProtection="1" pivotButton="0" quotePrefix="0" xfId="0">
      <protection locked="0" hidden="0"/>
    </xf>
    <xf numFmtId="165" fontId="3" fillId="0" borderId="0" applyProtection="1" pivotButton="0" quotePrefix="0" xfId="0">
      <protection locked="0" hidden="0"/>
    </xf>
    <xf numFmtId="164" fontId="3" fillId="0" borderId="0" applyProtection="1" pivotButton="0" quotePrefix="0" xfId="0">
      <protection locked="0" hidden="0"/>
    </xf>
    <xf numFmtId="0" fontId="7" fillId="2" borderId="7" applyAlignment="1" applyProtection="1" pivotButton="0" quotePrefix="0" xfId="0">
      <alignment horizontal="center" vertical="center"/>
      <protection locked="0" hidden="0"/>
    </xf>
    <xf numFmtId="170" fontId="3" fillId="0" borderId="0" applyAlignment="1" applyProtection="1" pivotButton="0" quotePrefix="0" xfId="0">
      <alignment horizontal="center" vertical="center"/>
      <protection locked="0" hidden="0"/>
    </xf>
    <xf numFmtId="164" fontId="3" fillId="0" borderId="0" applyAlignment="1" applyProtection="1" pivotButton="0" quotePrefix="0" xfId="1">
      <alignment horizontal="center" vertical="center"/>
      <protection locked="0" hidden="0"/>
    </xf>
    <xf numFmtId="164" fontId="3" fillId="0" borderId="0" applyAlignment="1" applyProtection="1" pivotButton="0" quotePrefix="0" xfId="0">
      <alignment horizontal="center" vertical="center"/>
      <protection locked="0" hidden="0"/>
    </xf>
    <xf numFmtId="0" fontId="0" fillId="0" borderId="8" applyProtection="1" pivotButton="0" quotePrefix="0" xfId="0">
      <protection locked="0" hidden="0"/>
    </xf>
    <xf numFmtId="39" fontId="7" fillId="15" borderId="9" applyAlignment="1" applyProtection="1" pivotButton="0" quotePrefix="0" xfId="1">
      <alignment horizontal="right" vertical="center"/>
      <protection locked="0" hidden="0"/>
    </xf>
    <xf numFmtId="164" fontId="7" fillId="15" borderId="9" applyAlignment="1" applyProtection="1" pivotButton="0" quotePrefix="0" xfId="1">
      <alignment horizontal="right" vertical="center"/>
      <protection locked="0" hidden="0"/>
    </xf>
    <xf numFmtId="164" fontId="3" fillId="0" borderId="0" applyAlignment="1" applyProtection="1" pivotButton="0" quotePrefix="0" xfId="1">
      <alignment horizontal="right" vertical="center"/>
      <protection locked="0" hidden="0"/>
    </xf>
    <xf numFmtId="164" fontId="7" fillId="4" borderId="9" applyAlignment="1" applyProtection="1" pivotButton="0" quotePrefix="0" xfId="1">
      <alignment horizontal="right" vertical="center"/>
      <protection locked="0" hidden="0"/>
    </xf>
    <xf numFmtId="164" fontId="7" fillId="4" borderId="7" applyAlignment="1" applyProtection="1" pivotButton="0" quotePrefix="0" xfId="1">
      <alignment horizontal="right" vertical="center"/>
      <protection locked="0" hidden="0"/>
    </xf>
    <xf numFmtId="164" fontId="7" fillId="4" borderId="0" applyAlignment="1" applyProtection="1" pivotButton="0" quotePrefix="0" xfId="1">
      <alignment horizontal="right" vertical="center"/>
      <protection locked="0" hidden="0"/>
    </xf>
    <xf numFmtId="170" fontId="3" fillId="0" borderId="0" applyProtection="1" pivotButton="0" quotePrefix="0" xfId="0">
      <protection locked="0" hidden="0"/>
    </xf>
    <xf numFmtId="164" fontId="3" fillId="9" borderId="7" applyAlignment="1" applyProtection="1" pivotButton="0" quotePrefix="1" xfId="1">
      <alignment horizontal="right" vertical="center"/>
      <protection locked="0" hidden="0"/>
    </xf>
    <xf numFmtId="164" fontId="3" fillId="9" borderId="0" applyProtection="1" pivotButton="0" quotePrefix="0" xfId="1">
      <protection locked="0" hidden="0"/>
    </xf>
    <xf numFmtId="164" fontId="3" fillId="0" borderId="7" applyAlignment="1" applyProtection="1" pivotButton="0" quotePrefix="1" xfId="1">
      <alignment horizontal="center" vertical="center"/>
      <protection locked="0" hidden="0"/>
    </xf>
    <xf numFmtId="165" fontId="3" fillId="0" borderId="0" applyAlignment="1" applyProtection="1" pivotButton="0" quotePrefix="0" xfId="0">
      <alignment horizontal="right" vertical="center"/>
      <protection locked="0" hidden="0"/>
    </xf>
    <xf numFmtId="165" fontId="3" fillId="11" borderId="7" applyAlignment="1" applyProtection="1" pivotButton="0" quotePrefix="1" xfId="1">
      <alignment horizontal="center" vertical="center"/>
      <protection locked="0" hidden="0"/>
    </xf>
    <xf numFmtId="39" fontId="3" fillId="0" borderId="21" applyProtection="1" pivotButton="0" quotePrefix="0" xfId="0">
      <protection locked="0" hidden="0"/>
    </xf>
    <xf numFmtId="165" fontId="3" fillId="0" borderId="7" applyAlignment="1" applyProtection="1" pivotButton="0" quotePrefix="1" xfId="1">
      <alignment horizontal="right" vertical="center"/>
      <protection locked="0" hidden="0"/>
    </xf>
    <xf numFmtId="165" fontId="3" fillId="0" borderId="0" applyAlignment="1" applyProtection="1" pivotButton="0" quotePrefix="0" xfId="1">
      <alignment horizontal="right" vertical="center"/>
      <protection locked="0" hidden="0"/>
    </xf>
    <xf numFmtId="164" fontId="3" fillId="13" borderId="7" applyAlignment="1" applyProtection="1" pivotButton="0" quotePrefix="1" xfId="1">
      <alignment horizontal="center" vertical="center"/>
      <protection locked="0" hidden="0"/>
    </xf>
    <xf numFmtId="164" fontId="3" fillId="0" borderId="7" applyAlignment="1" applyProtection="1" pivotButton="0" quotePrefix="1" xfId="1">
      <alignment horizontal="right" vertical="center"/>
      <protection locked="0" hidden="0"/>
    </xf>
    <xf numFmtId="165" fontId="16" fillId="54" borderId="10" applyAlignment="1" pivotButton="0" quotePrefix="0" xfId="1">
      <alignment horizontal="right" vertical="top"/>
    </xf>
    <xf numFmtId="164" fontId="3" fillId="12" borderId="7" applyAlignment="1" applyProtection="1" pivotButton="0" quotePrefix="1" xfId="1">
      <alignment horizontal="center" vertical="center"/>
      <protection locked="0" hidden="0"/>
    </xf>
    <xf numFmtId="171" fontId="3" fillId="0" borderId="7" applyAlignment="1" applyProtection="1" pivotButton="0" quotePrefix="1" xfId="1">
      <alignment horizontal="center" vertical="center"/>
      <protection locked="0" hidden="0"/>
    </xf>
    <xf numFmtId="164" fontId="3" fillId="52" borderId="21" applyProtection="1" pivotButton="0" quotePrefix="0" xfId="1">
      <protection locked="0" hidden="0"/>
    </xf>
    <xf numFmtId="167" fontId="36" fillId="55" borderId="21" applyAlignment="1" pivotButton="0" quotePrefix="0" xfId="49">
      <alignment horizontal="center"/>
    </xf>
    <xf numFmtId="165" fontId="3" fillId="0" borderId="0" applyProtection="1" pivotButton="0" quotePrefix="0" xfId="1">
      <protection locked="0" hidden="0"/>
    </xf>
    <xf numFmtId="39" fontId="7" fillId="6" borderId="6" applyAlignment="1" applyProtection="1" pivotButton="0" quotePrefix="0" xfId="1">
      <alignment horizontal="right" vertical="center"/>
      <protection locked="0" hidden="0"/>
    </xf>
    <xf numFmtId="171" fontId="3" fillId="0" borderId="0" applyAlignment="1" applyProtection="1" pivotButton="0" quotePrefix="0" xfId="1">
      <alignment horizontal="right" vertical="center"/>
      <protection locked="0" hidden="0"/>
    </xf>
    <xf numFmtId="164" fontId="7" fillId="6" borderId="6" applyAlignment="1" applyProtection="1" pivotButton="0" quotePrefix="0" xfId="1">
      <alignment horizontal="right" vertical="center"/>
      <protection locked="0" hidden="0"/>
    </xf>
    <xf numFmtId="164" fontId="7" fillId="6" borderId="0" applyAlignment="1" applyProtection="1" pivotButton="0" quotePrefix="0" xfId="1">
      <alignment horizontal="right" vertical="center"/>
      <protection locked="0" hidden="0"/>
    </xf>
    <xf numFmtId="39" fontId="7" fillId="8" borderId="7" applyAlignment="1" applyProtection="1" pivotButton="0" quotePrefix="1" xfId="3">
      <alignment horizontal="right" vertical="center"/>
      <protection locked="0" hidden="0"/>
    </xf>
    <xf numFmtId="39" fontId="3" fillId="8" borderId="7" applyAlignment="1" applyProtection="1" pivotButton="0" quotePrefix="1" xfId="6">
      <alignment horizontal="right" vertical="center"/>
      <protection locked="0" hidden="0"/>
    </xf>
    <xf numFmtId="164" fontId="7" fillId="0" borderId="7" applyAlignment="1" applyProtection="1" pivotButton="0" quotePrefix="1" xfId="1">
      <alignment horizontal="right" vertical="center"/>
      <protection locked="0" hidden="0"/>
    </xf>
    <xf numFmtId="164" fontId="7" fillId="0" borderId="7" applyAlignment="1" applyProtection="1" pivotButton="0" quotePrefix="1" xfId="3">
      <alignment horizontal="right" vertical="center"/>
      <protection locked="0" hidden="0"/>
    </xf>
    <xf numFmtId="164" fontId="0" fillId="0" borderId="2" applyProtection="1" pivotButton="0" quotePrefix="0" xfId="1">
      <protection locked="0" hidden="0"/>
    </xf>
    <xf numFmtId="164" fontId="3" fillId="8" borderId="0" applyProtection="1" pivotButton="0" quotePrefix="0" xfId="1">
      <protection locked="0" hidden="0"/>
    </xf>
    <xf numFmtId="166" fontId="7" fillId="14" borderId="0" applyProtection="1" pivotButton="0" quotePrefix="0" xfId="0">
      <protection locked="0" hidden="0"/>
    </xf>
    <xf numFmtId="164" fontId="7" fillId="0" borderId="0" applyProtection="1" pivotButton="0" quotePrefix="0" xfId="1">
      <protection locked="0" hidden="0"/>
    </xf>
    <xf numFmtId="39" fontId="7" fillId="6" borderId="6" applyAlignment="1" applyProtection="1" pivotButton="0" quotePrefix="0" xfId="6">
      <alignment horizontal="right" vertical="center"/>
      <protection locked="0" hidden="0"/>
    </xf>
    <xf numFmtId="164" fontId="15" fillId="0" borderId="2" applyProtection="1" pivotButton="0" quotePrefix="0" xfId="1">
      <protection locked="0" hidden="0"/>
    </xf>
    <xf numFmtId="165" fontId="10" fillId="7" borderId="7" applyAlignment="1" applyProtection="1" pivotButton="0" quotePrefix="0" xfId="3">
      <alignment horizontal="right" vertical="center"/>
      <protection locked="0" hidden="0"/>
    </xf>
    <xf numFmtId="164" fontId="10" fillId="7" borderId="7" applyAlignment="1" applyProtection="1" pivotButton="0" quotePrefix="0" xfId="3">
      <alignment horizontal="right" vertical="center"/>
      <protection locked="0" hidden="0"/>
    </xf>
    <xf numFmtId="164" fontId="10" fillId="7" borderId="0" applyAlignment="1" applyProtection="1" pivotButton="0" quotePrefix="0" xfId="3">
      <alignment horizontal="right" vertical="center"/>
      <protection locked="0" hidden="0"/>
    </xf>
    <xf numFmtId="164" fontId="7" fillId="0" borderId="7" applyAlignment="1" applyProtection="1" pivotButton="0" quotePrefix="0" xfId="1">
      <alignment horizontal="right" vertical="center"/>
      <protection locked="0" hidden="0"/>
    </xf>
    <xf numFmtId="164" fontId="7" fillId="0" borderId="7" applyAlignment="1" applyProtection="1" pivotButton="0" quotePrefix="0" xfId="3">
      <alignment horizontal="right" vertical="center"/>
      <protection locked="0" hidden="0"/>
    </xf>
    <xf numFmtId="164" fontId="7" fillId="0" borderId="0" applyAlignment="1" applyProtection="1" pivotButton="0" quotePrefix="0" xfId="3">
      <alignment horizontal="right" vertical="center"/>
      <protection locked="0" hidden="0"/>
    </xf>
    <xf numFmtId="165" fontId="7" fillId="0" borderId="7" applyAlignment="1" applyProtection="1" pivotButton="0" quotePrefix="1" xfId="3">
      <alignment horizontal="right" vertical="center"/>
      <protection locked="0" hidden="0"/>
    </xf>
    <xf numFmtId="165" fontId="7" fillId="0" borderId="0" applyAlignment="1" applyProtection="1" pivotButton="0" quotePrefix="0" xfId="0">
      <alignment horizontal="right" vertical="center"/>
      <protection locked="0" hidden="0"/>
    </xf>
    <xf numFmtId="165" fontId="7" fillId="0" borderId="7" applyAlignment="1" applyProtection="1" pivotButton="0" quotePrefix="1" xfId="1">
      <alignment horizontal="center" vertical="center"/>
      <protection locked="0" hidden="0"/>
    </xf>
    <xf numFmtId="164" fontId="7" fillId="0" borderId="0" applyAlignment="1" applyProtection="1" pivotButton="0" quotePrefix="1" xfId="3">
      <alignment horizontal="right" vertical="center"/>
      <protection locked="0" hidden="0"/>
    </xf>
    <xf numFmtId="164" fontId="7" fillId="0" borderId="7" applyAlignment="1" applyProtection="1" pivotButton="0" quotePrefix="1" xfId="3">
      <alignment horizontal="center" vertical="center"/>
      <protection locked="0" hidden="0"/>
    </xf>
    <xf numFmtId="164" fontId="7" fillId="6" borderId="6" applyAlignment="1" applyProtection="1" pivotButton="0" quotePrefix="0" xfId="3">
      <alignment horizontal="right" vertical="center"/>
      <protection locked="0" hidden="0"/>
    </xf>
    <xf numFmtId="164" fontId="7" fillId="6" borderId="0" applyAlignment="1" applyProtection="1" pivotButton="0" quotePrefix="0" xfId="3">
      <alignment horizontal="right" vertical="center"/>
      <protection locked="0" hidden="0"/>
    </xf>
    <xf numFmtId="169" fontId="7" fillId="0" borderId="7" applyAlignment="1" applyProtection="1" pivotButton="0" quotePrefix="1" xfId="6">
      <alignment horizontal="right" vertical="center"/>
      <protection locked="0" hidden="0"/>
    </xf>
    <xf numFmtId="167" fontId="7" fillId="6" borderId="6" applyAlignment="1" applyProtection="1" pivotButton="0" quotePrefix="0" xfId="4">
      <alignment horizontal="right" vertical="center"/>
      <protection locked="0" hidden="0"/>
    </xf>
    <xf numFmtId="167" fontId="7" fillId="6" borderId="0" applyAlignment="1" applyProtection="1" pivotButton="0" quotePrefix="0" xfId="4">
      <alignment horizontal="right" vertical="center"/>
      <protection locked="0" hidden="0"/>
    </xf>
    <xf numFmtId="164" fontId="7" fillId="7" borderId="7" applyAlignment="1" applyProtection="1" pivotButton="0" quotePrefix="0" xfId="1">
      <alignment horizontal="right" vertical="center"/>
      <protection locked="0" hidden="0"/>
    </xf>
    <xf numFmtId="168" fontId="7" fillId="7" borderId="7" applyAlignment="1" applyProtection="1" pivotButton="0" quotePrefix="0" xfId="4">
      <alignment horizontal="right" vertical="center"/>
      <protection locked="0" hidden="0"/>
    </xf>
    <xf numFmtId="165" fontId="32" fillId="0" borderId="0" pivotButton="0" quotePrefix="0" xfId="1"/>
    <xf numFmtId="165" fontId="31" fillId="0" borderId="0" pivotButton="0" quotePrefix="0" xfId="1"/>
    <xf numFmtId="164" fontId="32" fillId="0" borderId="0" pivotButton="0" quotePrefix="0" xfId="1"/>
    <xf numFmtId="164" fontId="32" fillId="48" borderId="0" pivotButton="0" quotePrefix="0" xfId="1"/>
    <xf numFmtId="164" fontId="32" fillId="10" borderId="0" pivotButton="0" quotePrefix="0" xfId="1"/>
    <xf numFmtId="165" fontId="15" fillId="0" borderId="2" applyProtection="1" pivotButton="0" quotePrefix="0" xfId="1">
      <protection locked="0" hidden="0"/>
    </xf>
    <xf numFmtId="165" fontId="0" fillId="0" borderId="2" applyProtection="1" pivotButton="0" quotePrefix="0" xfId="1">
      <protection locked="0" hidden="0"/>
    </xf>
    <xf numFmtId="165" fontId="31" fillId="50" borderId="0" pivotButton="0" quotePrefix="0" xfId="1"/>
    <xf numFmtId="165" fontId="0" fillId="50" borderId="2" applyProtection="1" pivotButton="0" quotePrefix="0" xfId="1">
      <protection locked="0" hidden="0"/>
    </xf>
    <xf numFmtId="164" fontId="32" fillId="13" borderId="0" pivotButton="0" quotePrefix="0" xfId="1"/>
    <xf numFmtId="164" fontId="15" fillId="0" borderId="2" applyProtection="1" pivotButton="0" quotePrefix="1" xfId="1">
      <protection locked="0" hidden="0"/>
    </xf>
    <xf numFmtId="164" fontId="15" fillId="52" borderId="2" applyProtection="1" pivotButton="0" quotePrefix="0" xfId="1">
      <protection locked="0" hidden="0"/>
    </xf>
    <xf numFmtId="164" fontId="15" fillId="49" borderId="2" applyProtection="1" pivotButton="0" quotePrefix="0" xfId="1">
      <protection locked="0" hidden="0"/>
    </xf>
    <xf numFmtId="164" fontId="15" fillId="13" borderId="2" applyProtection="1" pivotButton="0" quotePrefix="0" xfId="1">
      <protection locked="0" hidden="0"/>
    </xf>
    <xf numFmtId="165" fontId="1" fillId="0" borderId="2" applyProtection="1" pivotButton="0" quotePrefix="0" xfId="1">
      <protection locked="0" hidden="0"/>
    </xf>
    <xf numFmtId="164" fontId="0" fillId="0" borderId="0" pivotButton="0" quotePrefix="0" xfId="1"/>
    <xf numFmtId="165" fontId="0" fillId="0" borderId="0" pivotButton="0" quotePrefix="0" xfId="1"/>
    <xf numFmtId="165" fontId="15" fillId="0" borderId="0" pivotButton="0" quotePrefix="0" xfId="1"/>
    <xf numFmtId="165" fontId="33" fillId="0" borderId="0" pivotButton="0" quotePrefix="0" xfId="1"/>
    <xf numFmtId="165" fontId="15" fillId="52" borderId="0" pivotButton="0" quotePrefix="0" xfId="1"/>
    <xf numFmtId="165" fontId="15" fillId="52" borderId="2" applyProtection="1" pivotButton="0" quotePrefix="0" xfId="1">
      <protection locked="0" hidden="0"/>
    </xf>
    <xf numFmtId="165" fontId="15" fillId="56" borderId="0" pivotButton="0" quotePrefix="0" xfId="1"/>
    <xf numFmtId="164" fontId="15" fillId="56" borderId="2" applyProtection="1" pivotButton="0" quotePrefix="0" xfId="1">
      <protection locked="0" hidden="0"/>
    </xf>
    <xf numFmtId="165" fontId="15" fillId="56" borderId="2" applyProtection="1" pivotButton="0" quotePrefix="0" xfId="1">
      <protection locked="0" hidden="0"/>
    </xf>
  </cellXfs>
  <cellStyles count="115">
    <cellStyle name="Normal" xfId="0" builtinId="0"/>
    <cellStyle name="Millares" xfId="1" builtinId="3"/>
    <cellStyle name="Millares [0] 2" xfId="2"/>
    <cellStyle name="Millares 2" xfId="3"/>
    <cellStyle name="Millares 3" xfId="4"/>
    <cellStyle name="Millares 4" xfId="5"/>
    <cellStyle name="Normal 2" xfId="6"/>
    <cellStyle name="Título 1" xfId="7"/>
    <cellStyle name="Título" xfId="8" builtinId="15"/>
    <cellStyle name="Encabezado 1" xfId="9" builtinId="16"/>
    <cellStyle name="Título 2" xfId="10" builtinId="17"/>
    <cellStyle name="Título 3" xfId="11" builtinId="18"/>
    <cellStyle name="Encabezado 4" xfId="12" builtinId="19"/>
    <cellStyle name="Bueno" xfId="13" builtinId="26"/>
    <cellStyle name="Incorrecto" xfId="14" builtinId="27"/>
    <cellStyle name="Neutral" xfId="15" builtinId="28"/>
    <cellStyle name="Entrada" xfId="16" builtinId="20"/>
    <cellStyle name="Salida" xfId="17" builtinId="21"/>
    <cellStyle name="Cálculo" xfId="18" builtinId="22"/>
    <cellStyle name="Celda vinculada" xfId="19" builtinId="24"/>
    <cellStyle name="Celda de comprobación" xfId="20" builtinId="23"/>
    <cellStyle name="Texto de advertencia" xfId="21" builtinId="11"/>
    <cellStyle name="Notas" xfId="22" builtinId="10"/>
    <cellStyle name="Texto explicativo" xfId="23" builtinId="53"/>
    <cellStyle name="Total" xfId="24" builtinId="25"/>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Millares 55" xfId="49"/>
    <cellStyle name="Millares 2 4" xfId="50"/>
    <cellStyle name="Millares 58" xfId="51"/>
    <cellStyle name="Millares 56" xfId="52"/>
    <cellStyle name="Millares 57" xfId="53"/>
    <cellStyle name="Millares 5" xfId="54"/>
    <cellStyle name="Millares 54" xfId="55"/>
    <cellStyle name="Millares 53" xfId="56"/>
    <cellStyle name="Millares 6" xfId="57"/>
    <cellStyle name="Millares 8" xfId="58"/>
    <cellStyle name="Millares 7" xfId="59"/>
    <cellStyle name="Millares 39" xfId="60"/>
    <cellStyle name="Millares 41" xfId="61"/>
    <cellStyle name="Millares 40" xfId="62"/>
    <cellStyle name="Millares 3 3" xfId="63"/>
    <cellStyle name="Millares [0] 3" xfId="64"/>
    <cellStyle name="Millares 2 3" xfId="65"/>
    <cellStyle name="Normal 2 2" xfId="66"/>
    <cellStyle name="Millares 2 2" xfId="67"/>
    <cellStyle name="Millares [0] 2 2" xfId="68"/>
    <cellStyle name="Millares 3 2" xfId="69"/>
    <cellStyle name="Millares 4 2" xfId="70"/>
    <cellStyle name="Millares 9" xfId="71"/>
    <cellStyle name="Millares 10" xfId="72"/>
    <cellStyle name="Millares 11" xfId="73"/>
    <cellStyle name="Millares 12" xfId="74"/>
    <cellStyle name="Millares 13" xfId="75"/>
    <cellStyle name="Millares 14" xfId="76"/>
    <cellStyle name="Millares 15" xfId="77"/>
    <cellStyle name="Millares 16" xfId="78"/>
    <cellStyle name="Millares 17" xfId="79"/>
    <cellStyle name="Millares 18" xfId="80"/>
    <cellStyle name="Millares 19" xfId="81"/>
    <cellStyle name="Millares 20" xfId="82"/>
    <cellStyle name="Millares 21" xfId="83"/>
    <cellStyle name="Millares 22" xfId="84"/>
    <cellStyle name="Millares 23" xfId="85"/>
    <cellStyle name="Millares 24" xfId="86"/>
    <cellStyle name="Millares 25" xfId="87"/>
    <cellStyle name="Millares 26" xfId="88"/>
    <cellStyle name="Millares 27" xfId="89"/>
    <cellStyle name="Millares 28" xfId="90"/>
    <cellStyle name="Millares 29" xfId="91"/>
    <cellStyle name="Millares 30" xfId="92"/>
    <cellStyle name="Millares 31" xfId="93"/>
    <cellStyle name="Millares 32" xfId="94"/>
    <cellStyle name="Millares 33" xfId="95"/>
    <cellStyle name="Millares 34" xfId="96"/>
    <cellStyle name="Millares 35" xfId="97"/>
    <cellStyle name="Millares 36" xfId="98"/>
    <cellStyle name="Millares 37" xfId="99"/>
    <cellStyle name="Millares 38" xfId="100"/>
    <cellStyle name="Millares 42" xfId="101"/>
    <cellStyle name="Millares 43" xfId="102"/>
    <cellStyle name="Millares 44" xfId="103"/>
    <cellStyle name="Millares 45" xfId="104"/>
    <cellStyle name="Millares 46" xfId="105"/>
    <cellStyle name="Millares 47" xfId="106"/>
    <cellStyle name="Millares 48" xfId="107"/>
    <cellStyle name="Millares 49" xfId="108"/>
    <cellStyle name="Millares 50" xfId="109"/>
    <cellStyle name="Millares 51" xfId="110"/>
    <cellStyle name="Millares 52" xfId="111"/>
    <cellStyle name="Millares 59" xfId="112"/>
    <cellStyle name="Millares 60" xfId="113"/>
    <cellStyle name="Millares 61" xfId="114"/>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pcriales</author>
    <author>Angie Marcela Rodriguez Cruz</author>
  </authors>
  <commentList>
    <comment ref="H7" authorId="0" shapeId="0">
      <text>
        <t>pcriales:
EURO</t>
      </text>
    </comment>
    <comment ref="H8" authorId="0" shapeId="0">
      <text>
        <t>pcriales:
EURO</t>
      </text>
    </comment>
    <comment ref="S22" authorId="1" shapeId="0">
      <text>
        <t xml:space="preserve">Angie Marcela Rodriguez Cruz:
</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U63384"/>
  <sheetViews>
    <sheetView tabSelected="1" topLeftCell="C7" zoomScale="91" zoomScaleNormal="91" workbookViewId="0">
      <selection activeCell="R24" sqref="R24"/>
    </sheetView>
  </sheetViews>
  <sheetFormatPr baseColWidth="10" defaultColWidth="11.42578125" defaultRowHeight="12.75"/>
  <cols>
    <col width="1.7109375" customWidth="1" style="1" min="1" max="1"/>
    <col width="35.85546875" customWidth="1" style="1" min="2" max="2"/>
    <col width="1.140625" customWidth="1" style="1" min="3" max="3"/>
    <col width="18.28515625" customWidth="1" style="1" min="4" max="4"/>
    <col width="0.28515625" customWidth="1" style="1" min="5" max="5"/>
    <col width="16.5703125" customWidth="1" style="1" min="6" max="6"/>
    <col width="0.7109375" customWidth="1" style="1" min="7" max="7"/>
    <col width="18" customWidth="1" style="1" min="8" max="8"/>
    <col width="1.140625" customWidth="1" style="1" min="9" max="9"/>
    <col width="15.28515625" customWidth="1" style="1" min="10" max="10"/>
    <col width="0.7109375" customWidth="1" style="1" min="11" max="11"/>
    <col width="15.28515625" customWidth="1" style="1" min="12" max="12"/>
    <col width="1.5703125" customWidth="1" style="1" min="13" max="13"/>
    <col width="15.28515625" customWidth="1" style="1" min="14" max="14"/>
    <col width="5.5703125" customWidth="1" style="1" min="15" max="15"/>
    <col width="40" customWidth="1" style="1" min="16" max="16"/>
    <col width="17.5703125" bestFit="1" customWidth="1" style="1" min="17" max="17"/>
    <col width="17" customWidth="1" style="1" min="18" max="18"/>
    <col width="18.28515625" customWidth="1" style="1" min="19" max="19"/>
    <col width="12.42578125" bestFit="1" customWidth="1" style="1" min="20" max="20"/>
    <col width="16" bestFit="1" customWidth="1" style="1" min="21" max="21"/>
    <col width="11.42578125" customWidth="1" style="1" min="22" max="126"/>
    <col width="1.7109375" customWidth="1" style="1" min="127" max="127"/>
    <col width="45.42578125" customWidth="1" style="1" min="128" max="128"/>
    <col width="1.140625" customWidth="1" style="1" min="129" max="129"/>
    <col width="16.5703125" customWidth="1" style="1" min="130" max="130"/>
    <col width="0.7109375" customWidth="1" style="1" min="131" max="131"/>
    <col width="16.5703125" customWidth="1" style="1" min="132" max="132"/>
    <col width="0.7109375" customWidth="1" style="1" min="133" max="133"/>
    <col width="18" customWidth="1" style="1" min="134" max="134"/>
    <col width="1.140625" customWidth="1" style="1" min="135" max="135"/>
    <col width="15.28515625" customWidth="1" style="1" min="136" max="136"/>
    <col width="0.7109375" customWidth="1" style="1" min="137" max="137"/>
    <col width="15.28515625" customWidth="1" style="1" min="138" max="138"/>
    <col width="0.7109375" customWidth="1" style="1" min="139" max="139"/>
    <col width="15.28515625" customWidth="1" style="1" min="140" max="140"/>
    <col width="14.42578125" bestFit="1" customWidth="1" style="1" min="141" max="141"/>
    <col width="16" customWidth="1" style="1" min="142" max="144"/>
    <col width="14.42578125" bestFit="1" customWidth="1" style="1" min="145" max="145"/>
    <col width="11.42578125" customWidth="1" style="1" min="146" max="382"/>
    <col width="1.7109375" customWidth="1" style="1" min="383" max="383"/>
    <col width="45.42578125" customWidth="1" style="1" min="384" max="384"/>
    <col width="1.140625" customWidth="1" style="1" min="385" max="385"/>
    <col width="16.5703125" customWidth="1" style="1" min="386" max="386"/>
    <col width="0.7109375" customWidth="1" style="1" min="387" max="387"/>
    <col width="16.5703125" customWidth="1" style="1" min="388" max="388"/>
    <col width="0.7109375" customWidth="1" style="1" min="389" max="389"/>
    <col width="18" customWidth="1" style="1" min="390" max="390"/>
    <col width="1.140625" customWidth="1" style="1" min="391" max="391"/>
    <col width="15.28515625" customWidth="1" style="1" min="392" max="392"/>
    <col width="0.7109375" customWidth="1" style="1" min="393" max="393"/>
    <col width="15.28515625" customWidth="1" style="1" min="394" max="394"/>
    <col width="0.7109375" customWidth="1" style="1" min="395" max="395"/>
    <col width="15.28515625" customWidth="1" style="1" min="396" max="396"/>
    <col width="14.42578125" bestFit="1" customWidth="1" style="1" min="397" max="397"/>
    <col width="16" customWidth="1" style="1" min="398" max="400"/>
    <col width="14.42578125" bestFit="1" customWidth="1" style="1" min="401" max="401"/>
    <col width="11.42578125" customWidth="1" style="1" min="402" max="638"/>
    <col width="1.7109375" customWidth="1" style="1" min="639" max="639"/>
    <col width="45.42578125" customWidth="1" style="1" min="640" max="640"/>
    <col width="1.140625" customWidth="1" style="1" min="641" max="641"/>
    <col width="16.5703125" customWidth="1" style="1" min="642" max="642"/>
    <col width="0.7109375" customWidth="1" style="1" min="643" max="643"/>
    <col width="16.5703125" customWidth="1" style="1" min="644" max="644"/>
    <col width="0.7109375" customWidth="1" style="1" min="645" max="645"/>
    <col width="18" customWidth="1" style="1" min="646" max="646"/>
    <col width="1.140625" customWidth="1" style="1" min="647" max="647"/>
    <col width="15.28515625" customWidth="1" style="1" min="648" max="648"/>
    <col width="0.7109375" customWidth="1" style="1" min="649" max="649"/>
    <col width="15.28515625" customWidth="1" style="1" min="650" max="650"/>
    <col width="0.7109375" customWidth="1" style="1" min="651" max="651"/>
    <col width="15.28515625" customWidth="1" style="1" min="652" max="652"/>
    <col width="14.42578125" bestFit="1" customWidth="1" style="1" min="653" max="653"/>
    <col width="16" customWidth="1" style="1" min="654" max="656"/>
    <col width="14.42578125" bestFit="1" customWidth="1" style="1" min="657" max="657"/>
    <col width="11.42578125" customWidth="1" style="1" min="658" max="894"/>
    <col width="1.7109375" customWidth="1" style="1" min="895" max="895"/>
    <col width="45.42578125" customWidth="1" style="1" min="896" max="896"/>
    <col width="1.140625" customWidth="1" style="1" min="897" max="897"/>
    <col width="16.5703125" customWidth="1" style="1" min="898" max="898"/>
    <col width="0.7109375" customWidth="1" style="1" min="899" max="899"/>
    <col width="16.5703125" customWidth="1" style="1" min="900" max="900"/>
    <col width="0.7109375" customWidth="1" style="1" min="901" max="901"/>
    <col width="18" customWidth="1" style="1" min="902" max="902"/>
    <col width="1.140625" customWidth="1" style="1" min="903" max="903"/>
    <col width="15.28515625" customWidth="1" style="1" min="904" max="904"/>
    <col width="0.7109375" customWidth="1" style="1" min="905" max="905"/>
    <col width="15.28515625" customWidth="1" style="1" min="906" max="906"/>
    <col width="0.7109375" customWidth="1" style="1" min="907" max="907"/>
    <col width="15.28515625" customWidth="1" style="1" min="908" max="908"/>
    <col width="14.42578125" bestFit="1" customWidth="1" style="1" min="909" max="909"/>
    <col width="16" customWidth="1" style="1" min="910" max="912"/>
    <col width="14.42578125" bestFit="1" customWidth="1" style="1" min="913" max="913"/>
    <col width="11.42578125" customWidth="1" style="1" min="914" max="1150"/>
    <col width="1.7109375" customWidth="1" style="1" min="1151" max="1151"/>
    <col width="45.42578125" customWidth="1" style="1" min="1152" max="1152"/>
    <col width="1.140625" customWidth="1" style="1" min="1153" max="1153"/>
    <col width="16.5703125" customWidth="1" style="1" min="1154" max="1154"/>
    <col width="0.7109375" customWidth="1" style="1" min="1155" max="1155"/>
    <col width="16.5703125" customWidth="1" style="1" min="1156" max="1156"/>
    <col width="0.7109375" customWidth="1" style="1" min="1157" max="1157"/>
    <col width="18" customWidth="1" style="1" min="1158" max="1158"/>
    <col width="1.140625" customWidth="1" style="1" min="1159" max="1159"/>
    <col width="15.28515625" customWidth="1" style="1" min="1160" max="1160"/>
    <col width="0.7109375" customWidth="1" style="1" min="1161" max="1161"/>
    <col width="15.28515625" customWidth="1" style="1" min="1162" max="1162"/>
    <col width="0.7109375" customWidth="1" style="1" min="1163" max="1163"/>
    <col width="15.28515625" customWidth="1" style="1" min="1164" max="1164"/>
    <col width="14.42578125" bestFit="1" customWidth="1" style="1" min="1165" max="1165"/>
    <col width="16" customWidth="1" style="1" min="1166" max="1168"/>
    <col width="14.42578125" bestFit="1" customWidth="1" style="1" min="1169" max="1169"/>
    <col width="11.42578125" customWidth="1" style="1" min="1170" max="1406"/>
    <col width="1.7109375" customWidth="1" style="1" min="1407" max="1407"/>
    <col width="45.42578125" customWidth="1" style="1" min="1408" max="1408"/>
    <col width="1.140625" customWidth="1" style="1" min="1409" max="1409"/>
    <col width="16.5703125" customWidth="1" style="1" min="1410" max="1410"/>
    <col width="0.7109375" customWidth="1" style="1" min="1411" max="1411"/>
    <col width="16.5703125" customWidth="1" style="1" min="1412" max="1412"/>
    <col width="0.7109375" customWidth="1" style="1" min="1413" max="1413"/>
    <col width="18" customWidth="1" style="1" min="1414" max="1414"/>
    <col width="1.140625" customWidth="1" style="1" min="1415" max="1415"/>
    <col width="15.28515625" customWidth="1" style="1" min="1416" max="1416"/>
    <col width="0.7109375" customWidth="1" style="1" min="1417" max="1417"/>
    <col width="15.28515625" customWidth="1" style="1" min="1418" max="1418"/>
    <col width="0.7109375" customWidth="1" style="1" min="1419" max="1419"/>
    <col width="15.28515625" customWidth="1" style="1" min="1420" max="1420"/>
    <col width="14.42578125" bestFit="1" customWidth="1" style="1" min="1421" max="1421"/>
    <col width="16" customWidth="1" style="1" min="1422" max="1424"/>
    <col width="14.42578125" bestFit="1" customWidth="1" style="1" min="1425" max="1425"/>
    <col width="11.42578125" customWidth="1" style="1" min="1426" max="1662"/>
    <col width="1.7109375" customWidth="1" style="1" min="1663" max="1663"/>
    <col width="45.42578125" customWidth="1" style="1" min="1664" max="1664"/>
    <col width="1.140625" customWidth="1" style="1" min="1665" max="1665"/>
    <col width="16.5703125" customWidth="1" style="1" min="1666" max="1666"/>
    <col width="0.7109375" customWidth="1" style="1" min="1667" max="1667"/>
    <col width="16.5703125" customWidth="1" style="1" min="1668" max="1668"/>
    <col width="0.7109375" customWidth="1" style="1" min="1669" max="1669"/>
    <col width="18" customWidth="1" style="1" min="1670" max="1670"/>
    <col width="1.140625" customWidth="1" style="1" min="1671" max="1671"/>
    <col width="15.28515625" customWidth="1" style="1" min="1672" max="1672"/>
    <col width="0.7109375" customWidth="1" style="1" min="1673" max="1673"/>
    <col width="15.28515625" customWidth="1" style="1" min="1674" max="1674"/>
    <col width="0.7109375" customWidth="1" style="1" min="1675" max="1675"/>
    <col width="15.28515625" customWidth="1" style="1" min="1676" max="1676"/>
    <col width="14.42578125" bestFit="1" customWidth="1" style="1" min="1677" max="1677"/>
    <col width="16" customWidth="1" style="1" min="1678" max="1680"/>
    <col width="14.42578125" bestFit="1" customWidth="1" style="1" min="1681" max="1681"/>
    <col width="11.42578125" customWidth="1" style="1" min="1682" max="1918"/>
    <col width="1.7109375" customWidth="1" style="1" min="1919" max="1919"/>
    <col width="45.42578125" customWidth="1" style="1" min="1920" max="1920"/>
    <col width="1.140625" customWidth="1" style="1" min="1921" max="1921"/>
    <col width="16.5703125" customWidth="1" style="1" min="1922" max="1922"/>
    <col width="0.7109375" customWidth="1" style="1" min="1923" max="1923"/>
    <col width="16.5703125" customWidth="1" style="1" min="1924" max="1924"/>
    <col width="0.7109375" customWidth="1" style="1" min="1925" max="1925"/>
    <col width="18" customWidth="1" style="1" min="1926" max="1926"/>
    <col width="1.140625" customWidth="1" style="1" min="1927" max="1927"/>
    <col width="15.28515625" customWidth="1" style="1" min="1928" max="1928"/>
    <col width="0.7109375" customWidth="1" style="1" min="1929" max="1929"/>
    <col width="15.28515625" customWidth="1" style="1" min="1930" max="1930"/>
    <col width="0.7109375" customWidth="1" style="1" min="1931" max="1931"/>
    <col width="15.28515625" customWidth="1" style="1" min="1932" max="1932"/>
    <col width="14.42578125" bestFit="1" customWidth="1" style="1" min="1933" max="1933"/>
    <col width="16" customWidth="1" style="1" min="1934" max="1936"/>
    <col width="14.42578125" bestFit="1" customWidth="1" style="1" min="1937" max="1937"/>
    <col width="11.42578125" customWidth="1" style="1" min="1938" max="2174"/>
    <col width="1.7109375" customWidth="1" style="1" min="2175" max="2175"/>
    <col width="45.42578125" customWidth="1" style="1" min="2176" max="2176"/>
    <col width="1.140625" customWidth="1" style="1" min="2177" max="2177"/>
    <col width="16.5703125" customWidth="1" style="1" min="2178" max="2178"/>
    <col width="0.7109375" customWidth="1" style="1" min="2179" max="2179"/>
    <col width="16.5703125" customWidth="1" style="1" min="2180" max="2180"/>
    <col width="0.7109375" customWidth="1" style="1" min="2181" max="2181"/>
    <col width="18" customWidth="1" style="1" min="2182" max="2182"/>
    <col width="1.140625" customWidth="1" style="1" min="2183" max="2183"/>
    <col width="15.28515625" customWidth="1" style="1" min="2184" max="2184"/>
    <col width="0.7109375" customWidth="1" style="1" min="2185" max="2185"/>
    <col width="15.28515625" customWidth="1" style="1" min="2186" max="2186"/>
    <col width="0.7109375" customWidth="1" style="1" min="2187" max="2187"/>
    <col width="15.28515625" customWidth="1" style="1" min="2188" max="2188"/>
    <col width="14.42578125" bestFit="1" customWidth="1" style="1" min="2189" max="2189"/>
    <col width="16" customWidth="1" style="1" min="2190" max="2192"/>
    <col width="14.42578125" bestFit="1" customWidth="1" style="1" min="2193" max="2193"/>
    <col width="11.42578125" customWidth="1" style="1" min="2194" max="2430"/>
    <col width="1.7109375" customWidth="1" style="1" min="2431" max="2431"/>
    <col width="45.42578125" customWidth="1" style="1" min="2432" max="2432"/>
    <col width="1.140625" customWidth="1" style="1" min="2433" max="2433"/>
    <col width="16.5703125" customWidth="1" style="1" min="2434" max="2434"/>
    <col width="0.7109375" customWidth="1" style="1" min="2435" max="2435"/>
    <col width="16.5703125" customWidth="1" style="1" min="2436" max="2436"/>
    <col width="0.7109375" customWidth="1" style="1" min="2437" max="2437"/>
    <col width="18" customWidth="1" style="1" min="2438" max="2438"/>
    <col width="1.140625" customWidth="1" style="1" min="2439" max="2439"/>
    <col width="15.28515625" customWidth="1" style="1" min="2440" max="2440"/>
    <col width="0.7109375" customWidth="1" style="1" min="2441" max="2441"/>
    <col width="15.28515625" customWidth="1" style="1" min="2442" max="2442"/>
    <col width="0.7109375" customWidth="1" style="1" min="2443" max="2443"/>
    <col width="15.28515625" customWidth="1" style="1" min="2444" max="2444"/>
    <col width="14.42578125" bestFit="1" customWidth="1" style="1" min="2445" max="2445"/>
    <col width="16" customWidth="1" style="1" min="2446" max="2448"/>
    <col width="14.42578125" bestFit="1" customWidth="1" style="1" min="2449" max="2449"/>
    <col width="11.42578125" customWidth="1" style="1" min="2450" max="2686"/>
    <col width="1.7109375" customWidth="1" style="1" min="2687" max="2687"/>
    <col width="45.42578125" customWidth="1" style="1" min="2688" max="2688"/>
    <col width="1.140625" customWidth="1" style="1" min="2689" max="2689"/>
    <col width="16.5703125" customWidth="1" style="1" min="2690" max="2690"/>
    <col width="0.7109375" customWidth="1" style="1" min="2691" max="2691"/>
    <col width="16.5703125" customWidth="1" style="1" min="2692" max="2692"/>
    <col width="0.7109375" customWidth="1" style="1" min="2693" max="2693"/>
    <col width="18" customWidth="1" style="1" min="2694" max="2694"/>
    <col width="1.140625" customWidth="1" style="1" min="2695" max="2695"/>
    <col width="15.28515625" customWidth="1" style="1" min="2696" max="2696"/>
    <col width="0.7109375" customWidth="1" style="1" min="2697" max="2697"/>
    <col width="15.28515625" customWidth="1" style="1" min="2698" max="2698"/>
    <col width="0.7109375" customWidth="1" style="1" min="2699" max="2699"/>
    <col width="15.28515625" customWidth="1" style="1" min="2700" max="2700"/>
    <col width="14.42578125" bestFit="1" customWidth="1" style="1" min="2701" max="2701"/>
    <col width="16" customWidth="1" style="1" min="2702" max="2704"/>
    <col width="14.42578125" bestFit="1" customWidth="1" style="1" min="2705" max="2705"/>
    <col width="11.42578125" customWidth="1" style="1" min="2706" max="2942"/>
    <col width="1.7109375" customWidth="1" style="1" min="2943" max="2943"/>
    <col width="45.42578125" customWidth="1" style="1" min="2944" max="2944"/>
    <col width="1.140625" customWidth="1" style="1" min="2945" max="2945"/>
    <col width="16.5703125" customWidth="1" style="1" min="2946" max="2946"/>
    <col width="0.7109375" customWidth="1" style="1" min="2947" max="2947"/>
    <col width="16.5703125" customWidth="1" style="1" min="2948" max="2948"/>
    <col width="0.7109375" customWidth="1" style="1" min="2949" max="2949"/>
    <col width="18" customWidth="1" style="1" min="2950" max="2950"/>
    <col width="1.140625" customWidth="1" style="1" min="2951" max="2951"/>
    <col width="15.28515625" customWidth="1" style="1" min="2952" max="2952"/>
    <col width="0.7109375" customWidth="1" style="1" min="2953" max="2953"/>
    <col width="15.28515625" customWidth="1" style="1" min="2954" max="2954"/>
    <col width="0.7109375" customWidth="1" style="1" min="2955" max="2955"/>
    <col width="15.28515625" customWidth="1" style="1" min="2956" max="2956"/>
    <col width="14.42578125" bestFit="1" customWidth="1" style="1" min="2957" max="2957"/>
    <col width="16" customWidth="1" style="1" min="2958" max="2960"/>
    <col width="14.42578125" bestFit="1" customWidth="1" style="1" min="2961" max="2961"/>
    <col width="11.42578125" customWidth="1" style="1" min="2962" max="3198"/>
    <col width="1.7109375" customWidth="1" style="1" min="3199" max="3199"/>
    <col width="45.42578125" customWidth="1" style="1" min="3200" max="3200"/>
    <col width="1.140625" customWidth="1" style="1" min="3201" max="3201"/>
    <col width="16.5703125" customWidth="1" style="1" min="3202" max="3202"/>
    <col width="0.7109375" customWidth="1" style="1" min="3203" max="3203"/>
    <col width="16.5703125" customWidth="1" style="1" min="3204" max="3204"/>
    <col width="0.7109375" customWidth="1" style="1" min="3205" max="3205"/>
    <col width="18" customWidth="1" style="1" min="3206" max="3206"/>
    <col width="1.140625" customWidth="1" style="1" min="3207" max="3207"/>
    <col width="15.28515625" customWidth="1" style="1" min="3208" max="3208"/>
    <col width="0.7109375" customWidth="1" style="1" min="3209" max="3209"/>
    <col width="15.28515625" customWidth="1" style="1" min="3210" max="3210"/>
    <col width="0.7109375" customWidth="1" style="1" min="3211" max="3211"/>
    <col width="15.28515625" customWidth="1" style="1" min="3212" max="3212"/>
    <col width="14.42578125" bestFit="1" customWidth="1" style="1" min="3213" max="3213"/>
    <col width="16" customWidth="1" style="1" min="3214" max="3216"/>
    <col width="14.42578125" bestFit="1" customWidth="1" style="1" min="3217" max="3217"/>
    <col width="11.42578125" customWidth="1" style="1" min="3218" max="3454"/>
    <col width="1.7109375" customWidth="1" style="1" min="3455" max="3455"/>
    <col width="45.42578125" customWidth="1" style="1" min="3456" max="3456"/>
    <col width="1.140625" customWidth="1" style="1" min="3457" max="3457"/>
    <col width="16.5703125" customWidth="1" style="1" min="3458" max="3458"/>
    <col width="0.7109375" customWidth="1" style="1" min="3459" max="3459"/>
    <col width="16.5703125" customWidth="1" style="1" min="3460" max="3460"/>
    <col width="0.7109375" customWidth="1" style="1" min="3461" max="3461"/>
    <col width="18" customWidth="1" style="1" min="3462" max="3462"/>
    <col width="1.140625" customWidth="1" style="1" min="3463" max="3463"/>
    <col width="15.28515625" customWidth="1" style="1" min="3464" max="3464"/>
    <col width="0.7109375" customWidth="1" style="1" min="3465" max="3465"/>
    <col width="15.28515625" customWidth="1" style="1" min="3466" max="3466"/>
    <col width="0.7109375" customWidth="1" style="1" min="3467" max="3467"/>
    <col width="15.28515625" customWidth="1" style="1" min="3468" max="3468"/>
    <col width="14.42578125" bestFit="1" customWidth="1" style="1" min="3469" max="3469"/>
    <col width="16" customWidth="1" style="1" min="3470" max="3472"/>
    <col width="14.42578125" bestFit="1" customWidth="1" style="1" min="3473" max="3473"/>
    <col width="11.42578125" customWidth="1" style="1" min="3474" max="3710"/>
    <col width="1.7109375" customWidth="1" style="1" min="3711" max="3711"/>
    <col width="45.42578125" customWidth="1" style="1" min="3712" max="3712"/>
    <col width="1.140625" customWidth="1" style="1" min="3713" max="3713"/>
    <col width="16.5703125" customWidth="1" style="1" min="3714" max="3714"/>
    <col width="0.7109375" customWidth="1" style="1" min="3715" max="3715"/>
    <col width="16.5703125" customWidth="1" style="1" min="3716" max="3716"/>
    <col width="0.7109375" customWidth="1" style="1" min="3717" max="3717"/>
    <col width="18" customWidth="1" style="1" min="3718" max="3718"/>
    <col width="1.140625" customWidth="1" style="1" min="3719" max="3719"/>
    <col width="15.28515625" customWidth="1" style="1" min="3720" max="3720"/>
    <col width="0.7109375" customWidth="1" style="1" min="3721" max="3721"/>
    <col width="15.28515625" customWidth="1" style="1" min="3722" max="3722"/>
    <col width="0.7109375" customWidth="1" style="1" min="3723" max="3723"/>
    <col width="15.28515625" customWidth="1" style="1" min="3724" max="3724"/>
    <col width="14.42578125" bestFit="1" customWidth="1" style="1" min="3725" max="3725"/>
    <col width="16" customWidth="1" style="1" min="3726" max="3728"/>
    <col width="14.42578125" bestFit="1" customWidth="1" style="1" min="3729" max="3729"/>
    <col width="11.42578125" customWidth="1" style="1" min="3730" max="3966"/>
    <col width="1.7109375" customWidth="1" style="1" min="3967" max="3967"/>
    <col width="45.42578125" customWidth="1" style="1" min="3968" max="3968"/>
    <col width="1.140625" customWidth="1" style="1" min="3969" max="3969"/>
    <col width="16.5703125" customWidth="1" style="1" min="3970" max="3970"/>
    <col width="0.7109375" customWidth="1" style="1" min="3971" max="3971"/>
    <col width="16.5703125" customWidth="1" style="1" min="3972" max="3972"/>
    <col width="0.7109375" customWidth="1" style="1" min="3973" max="3973"/>
    <col width="18" customWidth="1" style="1" min="3974" max="3974"/>
    <col width="1.140625" customWidth="1" style="1" min="3975" max="3975"/>
    <col width="15.28515625" customWidth="1" style="1" min="3976" max="3976"/>
    <col width="0.7109375" customWidth="1" style="1" min="3977" max="3977"/>
    <col width="15.28515625" customWidth="1" style="1" min="3978" max="3978"/>
    <col width="0.7109375" customWidth="1" style="1" min="3979" max="3979"/>
    <col width="15.28515625" customWidth="1" style="1" min="3980" max="3980"/>
    <col width="14.42578125" bestFit="1" customWidth="1" style="1" min="3981" max="3981"/>
    <col width="16" customWidth="1" style="1" min="3982" max="3984"/>
    <col width="14.42578125" bestFit="1" customWidth="1" style="1" min="3985" max="3985"/>
    <col width="11.42578125" customWidth="1" style="1" min="3986" max="4222"/>
    <col width="1.7109375" customWidth="1" style="1" min="4223" max="4223"/>
    <col width="45.42578125" customWidth="1" style="1" min="4224" max="4224"/>
    <col width="1.140625" customWidth="1" style="1" min="4225" max="4225"/>
    <col width="16.5703125" customWidth="1" style="1" min="4226" max="4226"/>
    <col width="0.7109375" customWidth="1" style="1" min="4227" max="4227"/>
    <col width="16.5703125" customWidth="1" style="1" min="4228" max="4228"/>
    <col width="0.7109375" customWidth="1" style="1" min="4229" max="4229"/>
    <col width="18" customWidth="1" style="1" min="4230" max="4230"/>
    <col width="1.140625" customWidth="1" style="1" min="4231" max="4231"/>
    <col width="15.28515625" customWidth="1" style="1" min="4232" max="4232"/>
    <col width="0.7109375" customWidth="1" style="1" min="4233" max="4233"/>
    <col width="15.28515625" customWidth="1" style="1" min="4234" max="4234"/>
    <col width="0.7109375" customWidth="1" style="1" min="4235" max="4235"/>
    <col width="15.28515625" customWidth="1" style="1" min="4236" max="4236"/>
    <col width="14.42578125" bestFit="1" customWidth="1" style="1" min="4237" max="4237"/>
    <col width="16" customWidth="1" style="1" min="4238" max="4240"/>
    <col width="14.42578125" bestFit="1" customWidth="1" style="1" min="4241" max="4241"/>
    <col width="11.42578125" customWidth="1" style="1" min="4242" max="4478"/>
    <col width="1.7109375" customWidth="1" style="1" min="4479" max="4479"/>
    <col width="45.42578125" customWidth="1" style="1" min="4480" max="4480"/>
    <col width="1.140625" customWidth="1" style="1" min="4481" max="4481"/>
    <col width="16.5703125" customWidth="1" style="1" min="4482" max="4482"/>
    <col width="0.7109375" customWidth="1" style="1" min="4483" max="4483"/>
    <col width="16.5703125" customWidth="1" style="1" min="4484" max="4484"/>
    <col width="0.7109375" customWidth="1" style="1" min="4485" max="4485"/>
    <col width="18" customWidth="1" style="1" min="4486" max="4486"/>
    <col width="1.140625" customWidth="1" style="1" min="4487" max="4487"/>
    <col width="15.28515625" customWidth="1" style="1" min="4488" max="4488"/>
    <col width="0.7109375" customWidth="1" style="1" min="4489" max="4489"/>
    <col width="15.28515625" customWidth="1" style="1" min="4490" max="4490"/>
    <col width="0.7109375" customWidth="1" style="1" min="4491" max="4491"/>
    <col width="15.28515625" customWidth="1" style="1" min="4492" max="4492"/>
    <col width="14.42578125" bestFit="1" customWidth="1" style="1" min="4493" max="4493"/>
    <col width="16" customWidth="1" style="1" min="4494" max="4496"/>
    <col width="14.42578125" bestFit="1" customWidth="1" style="1" min="4497" max="4497"/>
    <col width="11.42578125" customWidth="1" style="1" min="4498" max="4734"/>
    <col width="1.7109375" customWidth="1" style="1" min="4735" max="4735"/>
    <col width="45.42578125" customWidth="1" style="1" min="4736" max="4736"/>
    <col width="1.140625" customWidth="1" style="1" min="4737" max="4737"/>
    <col width="16.5703125" customWidth="1" style="1" min="4738" max="4738"/>
    <col width="0.7109375" customWidth="1" style="1" min="4739" max="4739"/>
    <col width="16.5703125" customWidth="1" style="1" min="4740" max="4740"/>
    <col width="0.7109375" customWidth="1" style="1" min="4741" max="4741"/>
    <col width="18" customWidth="1" style="1" min="4742" max="4742"/>
    <col width="1.140625" customWidth="1" style="1" min="4743" max="4743"/>
    <col width="15.28515625" customWidth="1" style="1" min="4744" max="4744"/>
    <col width="0.7109375" customWidth="1" style="1" min="4745" max="4745"/>
    <col width="15.28515625" customWidth="1" style="1" min="4746" max="4746"/>
    <col width="0.7109375" customWidth="1" style="1" min="4747" max="4747"/>
    <col width="15.28515625" customWidth="1" style="1" min="4748" max="4748"/>
    <col width="14.42578125" bestFit="1" customWidth="1" style="1" min="4749" max="4749"/>
    <col width="16" customWidth="1" style="1" min="4750" max="4752"/>
    <col width="14.42578125" bestFit="1" customWidth="1" style="1" min="4753" max="4753"/>
    <col width="11.42578125" customWidth="1" style="1" min="4754" max="4990"/>
    <col width="1.7109375" customWidth="1" style="1" min="4991" max="4991"/>
    <col width="45.42578125" customWidth="1" style="1" min="4992" max="4992"/>
    <col width="1.140625" customWidth="1" style="1" min="4993" max="4993"/>
    <col width="16.5703125" customWidth="1" style="1" min="4994" max="4994"/>
    <col width="0.7109375" customWidth="1" style="1" min="4995" max="4995"/>
    <col width="16.5703125" customWidth="1" style="1" min="4996" max="4996"/>
    <col width="0.7109375" customWidth="1" style="1" min="4997" max="4997"/>
    <col width="18" customWidth="1" style="1" min="4998" max="4998"/>
    <col width="1.140625" customWidth="1" style="1" min="4999" max="4999"/>
    <col width="15.28515625" customWidth="1" style="1" min="5000" max="5000"/>
    <col width="0.7109375" customWidth="1" style="1" min="5001" max="5001"/>
    <col width="15.28515625" customWidth="1" style="1" min="5002" max="5002"/>
    <col width="0.7109375" customWidth="1" style="1" min="5003" max="5003"/>
    <col width="15.28515625" customWidth="1" style="1" min="5004" max="5004"/>
    <col width="14.42578125" bestFit="1" customWidth="1" style="1" min="5005" max="5005"/>
    <col width="16" customWidth="1" style="1" min="5006" max="5008"/>
    <col width="14.42578125" bestFit="1" customWidth="1" style="1" min="5009" max="5009"/>
    <col width="11.42578125" customWidth="1" style="1" min="5010" max="5246"/>
    <col width="1.7109375" customWidth="1" style="1" min="5247" max="5247"/>
    <col width="45.42578125" customWidth="1" style="1" min="5248" max="5248"/>
    <col width="1.140625" customWidth="1" style="1" min="5249" max="5249"/>
    <col width="16.5703125" customWidth="1" style="1" min="5250" max="5250"/>
    <col width="0.7109375" customWidth="1" style="1" min="5251" max="5251"/>
    <col width="16.5703125" customWidth="1" style="1" min="5252" max="5252"/>
    <col width="0.7109375" customWidth="1" style="1" min="5253" max="5253"/>
    <col width="18" customWidth="1" style="1" min="5254" max="5254"/>
    <col width="1.140625" customWidth="1" style="1" min="5255" max="5255"/>
    <col width="15.28515625" customWidth="1" style="1" min="5256" max="5256"/>
    <col width="0.7109375" customWidth="1" style="1" min="5257" max="5257"/>
    <col width="15.28515625" customWidth="1" style="1" min="5258" max="5258"/>
    <col width="0.7109375" customWidth="1" style="1" min="5259" max="5259"/>
    <col width="15.28515625" customWidth="1" style="1" min="5260" max="5260"/>
    <col width="14.42578125" bestFit="1" customWidth="1" style="1" min="5261" max="5261"/>
    <col width="16" customWidth="1" style="1" min="5262" max="5264"/>
    <col width="14.42578125" bestFit="1" customWidth="1" style="1" min="5265" max="5265"/>
    <col width="11.42578125" customWidth="1" style="1" min="5266" max="5502"/>
    <col width="1.7109375" customWidth="1" style="1" min="5503" max="5503"/>
    <col width="45.42578125" customWidth="1" style="1" min="5504" max="5504"/>
    <col width="1.140625" customWidth="1" style="1" min="5505" max="5505"/>
    <col width="16.5703125" customWidth="1" style="1" min="5506" max="5506"/>
    <col width="0.7109375" customWidth="1" style="1" min="5507" max="5507"/>
    <col width="16.5703125" customWidth="1" style="1" min="5508" max="5508"/>
    <col width="0.7109375" customWidth="1" style="1" min="5509" max="5509"/>
    <col width="18" customWidth="1" style="1" min="5510" max="5510"/>
    <col width="1.140625" customWidth="1" style="1" min="5511" max="5511"/>
    <col width="15.28515625" customWidth="1" style="1" min="5512" max="5512"/>
    <col width="0.7109375" customWidth="1" style="1" min="5513" max="5513"/>
    <col width="15.28515625" customWidth="1" style="1" min="5514" max="5514"/>
    <col width="0.7109375" customWidth="1" style="1" min="5515" max="5515"/>
    <col width="15.28515625" customWidth="1" style="1" min="5516" max="5516"/>
    <col width="14.42578125" bestFit="1" customWidth="1" style="1" min="5517" max="5517"/>
    <col width="16" customWidth="1" style="1" min="5518" max="5520"/>
    <col width="14.42578125" bestFit="1" customWidth="1" style="1" min="5521" max="5521"/>
    <col width="11.42578125" customWidth="1" style="1" min="5522" max="5758"/>
    <col width="1.7109375" customWidth="1" style="1" min="5759" max="5759"/>
    <col width="45.42578125" customWidth="1" style="1" min="5760" max="5760"/>
    <col width="1.140625" customWidth="1" style="1" min="5761" max="5761"/>
    <col width="16.5703125" customWidth="1" style="1" min="5762" max="5762"/>
    <col width="0.7109375" customWidth="1" style="1" min="5763" max="5763"/>
    <col width="16.5703125" customWidth="1" style="1" min="5764" max="5764"/>
    <col width="0.7109375" customWidth="1" style="1" min="5765" max="5765"/>
    <col width="18" customWidth="1" style="1" min="5766" max="5766"/>
    <col width="1.140625" customWidth="1" style="1" min="5767" max="5767"/>
    <col width="15.28515625" customWidth="1" style="1" min="5768" max="5768"/>
    <col width="0.7109375" customWidth="1" style="1" min="5769" max="5769"/>
    <col width="15.28515625" customWidth="1" style="1" min="5770" max="5770"/>
    <col width="0.7109375" customWidth="1" style="1" min="5771" max="5771"/>
    <col width="15.28515625" customWidth="1" style="1" min="5772" max="5772"/>
    <col width="14.42578125" bestFit="1" customWidth="1" style="1" min="5773" max="5773"/>
    <col width="16" customWidth="1" style="1" min="5774" max="5776"/>
    <col width="14.42578125" bestFit="1" customWidth="1" style="1" min="5777" max="5777"/>
    <col width="11.42578125" customWidth="1" style="1" min="5778" max="6014"/>
    <col width="1.7109375" customWidth="1" style="1" min="6015" max="6015"/>
    <col width="45.42578125" customWidth="1" style="1" min="6016" max="6016"/>
    <col width="1.140625" customWidth="1" style="1" min="6017" max="6017"/>
    <col width="16.5703125" customWidth="1" style="1" min="6018" max="6018"/>
    <col width="0.7109375" customWidth="1" style="1" min="6019" max="6019"/>
    <col width="16.5703125" customWidth="1" style="1" min="6020" max="6020"/>
    <col width="0.7109375" customWidth="1" style="1" min="6021" max="6021"/>
    <col width="18" customWidth="1" style="1" min="6022" max="6022"/>
    <col width="1.140625" customWidth="1" style="1" min="6023" max="6023"/>
    <col width="15.28515625" customWidth="1" style="1" min="6024" max="6024"/>
    <col width="0.7109375" customWidth="1" style="1" min="6025" max="6025"/>
    <col width="15.28515625" customWidth="1" style="1" min="6026" max="6026"/>
    <col width="0.7109375" customWidth="1" style="1" min="6027" max="6027"/>
    <col width="15.28515625" customWidth="1" style="1" min="6028" max="6028"/>
    <col width="14.42578125" bestFit="1" customWidth="1" style="1" min="6029" max="6029"/>
    <col width="16" customWidth="1" style="1" min="6030" max="6032"/>
    <col width="14.42578125" bestFit="1" customWidth="1" style="1" min="6033" max="6033"/>
    <col width="11.42578125" customWidth="1" style="1" min="6034" max="6270"/>
    <col width="1.7109375" customWidth="1" style="1" min="6271" max="6271"/>
    <col width="45.42578125" customWidth="1" style="1" min="6272" max="6272"/>
    <col width="1.140625" customWidth="1" style="1" min="6273" max="6273"/>
    <col width="16.5703125" customWidth="1" style="1" min="6274" max="6274"/>
    <col width="0.7109375" customWidth="1" style="1" min="6275" max="6275"/>
    <col width="16.5703125" customWidth="1" style="1" min="6276" max="6276"/>
    <col width="0.7109375" customWidth="1" style="1" min="6277" max="6277"/>
    <col width="18" customWidth="1" style="1" min="6278" max="6278"/>
    <col width="1.140625" customWidth="1" style="1" min="6279" max="6279"/>
    <col width="15.28515625" customWidth="1" style="1" min="6280" max="6280"/>
    <col width="0.7109375" customWidth="1" style="1" min="6281" max="6281"/>
    <col width="15.28515625" customWidth="1" style="1" min="6282" max="6282"/>
    <col width="0.7109375" customWidth="1" style="1" min="6283" max="6283"/>
    <col width="15.28515625" customWidth="1" style="1" min="6284" max="6284"/>
    <col width="14.42578125" bestFit="1" customWidth="1" style="1" min="6285" max="6285"/>
    <col width="16" customWidth="1" style="1" min="6286" max="6288"/>
    <col width="14.42578125" bestFit="1" customWidth="1" style="1" min="6289" max="6289"/>
    <col width="11.42578125" customWidth="1" style="1" min="6290" max="6526"/>
    <col width="1.7109375" customWidth="1" style="1" min="6527" max="6527"/>
    <col width="45.42578125" customWidth="1" style="1" min="6528" max="6528"/>
    <col width="1.140625" customWidth="1" style="1" min="6529" max="6529"/>
    <col width="16.5703125" customWidth="1" style="1" min="6530" max="6530"/>
    <col width="0.7109375" customWidth="1" style="1" min="6531" max="6531"/>
    <col width="16.5703125" customWidth="1" style="1" min="6532" max="6532"/>
    <col width="0.7109375" customWidth="1" style="1" min="6533" max="6533"/>
    <col width="18" customWidth="1" style="1" min="6534" max="6534"/>
    <col width="1.140625" customWidth="1" style="1" min="6535" max="6535"/>
    <col width="15.28515625" customWidth="1" style="1" min="6536" max="6536"/>
    <col width="0.7109375" customWidth="1" style="1" min="6537" max="6537"/>
    <col width="15.28515625" customWidth="1" style="1" min="6538" max="6538"/>
    <col width="0.7109375" customWidth="1" style="1" min="6539" max="6539"/>
    <col width="15.28515625" customWidth="1" style="1" min="6540" max="6540"/>
    <col width="14.42578125" bestFit="1" customWidth="1" style="1" min="6541" max="6541"/>
    <col width="16" customWidth="1" style="1" min="6542" max="6544"/>
    <col width="14.42578125" bestFit="1" customWidth="1" style="1" min="6545" max="6545"/>
    <col width="11.42578125" customWidth="1" style="1" min="6546" max="6782"/>
    <col width="1.7109375" customWidth="1" style="1" min="6783" max="6783"/>
    <col width="45.42578125" customWidth="1" style="1" min="6784" max="6784"/>
    <col width="1.140625" customWidth="1" style="1" min="6785" max="6785"/>
    <col width="16.5703125" customWidth="1" style="1" min="6786" max="6786"/>
    <col width="0.7109375" customWidth="1" style="1" min="6787" max="6787"/>
    <col width="16.5703125" customWidth="1" style="1" min="6788" max="6788"/>
    <col width="0.7109375" customWidth="1" style="1" min="6789" max="6789"/>
    <col width="18" customWidth="1" style="1" min="6790" max="6790"/>
    <col width="1.140625" customWidth="1" style="1" min="6791" max="6791"/>
    <col width="15.28515625" customWidth="1" style="1" min="6792" max="6792"/>
    <col width="0.7109375" customWidth="1" style="1" min="6793" max="6793"/>
    <col width="15.28515625" customWidth="1" style="1" min="6794" max="6794"/>
    <col width="0.7109375" customWidth="1" style="1" min="6795" max="6795"/>
    <col width="15.28515625" customWidth="1" style="1" min="6796" max="6796"/>
    <col width="14.42578125" bestFit="1" customWidth="1" style="1" min="6797" max="6797"/>
    <col width="16" customWidth="1" style="1" min="6798" max="6800"/>
    <col width="14.42578125" bestFit="1" customWidth="1" style="1" min="6801" max="6801"/>
    <col width="11.42578125" customWidth="1" style="1" min="6802" max="7038"/>
    <col width="1.7109375" customWidth="1" style="1" min="7039" max="7039"/>
    <col width="45.42578125" customWidth="1" style="1" min="7040" max="7040"/>
    <col width="1.140625" customWidth="1" style="1" min="7041" max="7041"/>
    <col width="16.5703125" customWidth="1" style="1" min="7042" max="7042"/>
    <col width="0.7109375" customWidth="1" style="1" min="7043" max="7043"/>
    <col width="16.5703125" customWidth="1" style="1" min="7044" max="7044"/>
    <col width="0.7109375" customWidth="1" style="1" min="7045" max="7045"/>
    <col width="18" customWidth="1" style="1" min="7046" max="7046"/>
    <col width="1.140625" customWidth="1" style="1" min="7047" max="7047"/>
    <col width="15.28515625" customWidth="1" style="1" min="7048" max="7048"/>
    <col width="0.7109375" customWidth="1" style="1" min="7049" max="7049"/>
    <col width="15.28515625" customWidth="1" style="1" min="7050" max="7050"/>
    <col width="0.7109375" customWidth="1" style="1" min="7051" max="7051"/>
    <col width="15.28515625" customWidth="1" style="1" min="7052" max="7052"/>
    <col width="14.42578125" bestFit="1" customWidth="1" style="1" min="7053" max="7053"/>
    <col width="16" customWidth="1" style="1" min="7054" max="7056"/>
    <col width="14.42578125" bestFit="1" customWidth="1" style="1" min="7057" max="7057"/>
    <col width="11.42578125" customWidth="1" style="1" min="7058" max="7294"/>
    <col width="1.7109375" customWidth="1" style="1" min="7295" max="7295"/>
    <col width="45.42578125" customWidth="1" style="1" min="7296" max="7296"/>
    <col width="1.140625" customWidth="1" style="1" min="7297" max="7297"/>
    <col width="16.5703125" customWidth="1" style="1" min="7298" max="7298"/>
    <col width="0.7109375" customWidth="1" style="1" min="7299" max="7299"/>
    <col width="16.5703125" customWidth="1" style="1" min="7300" max="7300"/>
    <col width="0.7109375" customWidth="1" style="1" min="7301" max="7301"/>
    <col width="18" customWidth="1" style="1" min="7302" max="7302"/>
    <col width="1.140625" customWidth="1" style="1" min="7303" max="7303"/>
    <col width="15.28515625" customWidth="1" style="1" min="7304" max="7304"/>
    <col width="0.7109375" customWidth="1" style="1" min="7305" max="7305"/>
    <col width="15.28515625" customWidth="1" style="1" min="7306" max="7306"/>
    <col width="0.7109375" customWidth="1" style="1" min="7307" max="7307"/>
    <col width="15.28515625" customWidth="1" style="1" min="7308" max="7308"/>
    <col width="14.42578125" bestFit="1" customWidth="1" style="1" min="7309" max="7309"/>
    <col width="16" customWidth="1" style="1" min="7310" max="7312"/>
    <col width="14.42578125" bestFit="1" customWidth="1" style="1" min="7313" max="7313"/>
    <col width="11.42578125" customWidth="1" style="1" min="7314" max="7550"/>
    <col width="1.7109375" customWidth="1" style="1" min="7551" max="7551"/>
    <col width="45.42578125" customWidth="1" style="1" min="7552" max="7552"/>
    <col width="1.140625" customWidth="1" style="1" min="7553" max="7553"/>
    <col width="16.5703125" customWidth="1" style="1" min="7554" max="7554"/>
    <col width="0.7109375" customWidth="1" style="1" min="7555" max="7555"/>
    <col width="16.5703125" customWidth="1" style="1" min="7556" max="7556"/>
    <col width="0.7109375" customWidth="1" style="1" min="7557" max="7557"/>
    <col width="18" customWidth="1" style="1" min="7558" max="7558"/>
    <col width="1.140625" customWidth="1" style="1" min="7559" max="7559"/>
    <col width="15.28515625" customWidth="1" style="1" min="7560" max="7560"/>
    <col width="0.7109375" customWidth="1" style="1" min="7561" max="7561"/>
    <col width="15.28515625" customWidth="1" style="1" min="7562" max="7562"/>
    <col width="0.7109375" customWidth="1" style="1" min="7563" max="7563"/>
    <col width="15.28515625" customWidth="1" style="1" min="7564" max="7564"/>
    <col width="14.42578125" bestFit="1" customWidth="1" style="1" min="7565" max="7565"/>
    <col width="16" customWidth="1" style="1" min="7566" max="7568"/>
    <col width="14.42578125" bestFit="1" customWidth="1" style="1" min="7569" max="7569"/>
    <col width="11.42578125" customWidth="1" style="1" min="7570" max="7806"/>
    <col width="1.7109375" customWidth="1" style="1" min="7807" max="7807"/>
    <col width="45.42578125" customWidth="1" style="1" min="7808" max="7808"/>
    <col width="1.140625" customWidth="1" style="1" min="7809" max="7809"/>
    <col width="16.5703125" customWidth="1" style="1" min="7810" max="7810"/>
    <col width="0.7109375" customWidth="1" style="1" min="7811" max="7811"/>
    <col width="16.5703125" customWidth="1" style="1" min="7812" max="7812"/>
    <col width="0.7109375" customWidth="1" style="1" min="7813" max="7813"/>
    <col width="18" customWidth="1" style="1" min="7814" max="7814"/>
    <col width="1.140625" customWidth="1" style="1" min="7815" max="7815"/>
    <col width="15.28515625" customWidth="1" style="1" min="7816" max="7816"/>
    <col width="0.7109375" customWidth="1" style="1" min="7817" max="7817"/>
    <col width="15.28515625" customWidth="1" style="1" min="7818" max="7818"/>
    <col width="0.7109375" customWidth="1" style="1" min="7819" max="7819"/>
    <col width="15.28515625" customWidth="1" style="1" min="7820" max="7820"/>
    <col width="14.42578125" bestFit="1" customWidth="1" style="1" min="7821" max="7821"/>
    <col width="16" customWidth="1" style="1" min="7822" max="7824"/>
    <col width="14.42578125" bestFit="1" customWidth="1" style="1" min="7825" max="7825"/>
    <col width="11.42578125" customWidth="1" style="1" min="7826" max="8062"/>
    <col width="1.7109375" customWidth="1" style="1" min="8063" max="8063"/>
    <col width="45.42578125" customWidth="1" style="1" min="8064" max="8064"/>
    <col width="1.140625" customWidth="1" style="1" min="8065" max="8065"/>
    <col width="16.5703125" customWidth="1" style="1" min="8066" max="8066"/>
    <col width="0.7109375" customWidth="1" style="1" min="8067" max="8067"/>
    <col width="16.5703125" customWidth="1" style="1" min="8068" max="8068"/>
    <col width="0.7109375" customWidth="1" style="1" min="8069" max="8069"/>
    <col width="18" customWidth="1" style="1" min="8070" max="8070"/>
    <col width="1.140625" customWidth="1" style="1" min="8071" max="8071"/>
    <col width="15.28515625" customWidth="1" style="1" min="8072" max="8072"/>
    <col width="0.7109375" customWidth="1" style="1" min="8073" max="8073"/>
    <col width="15.28515625" customWidth="1" style="1" min="8074" max="8074"/>
    <col width="0.7109375" customWidth="1" style="1" min="8075" max="8075"/>
    <col width="15.28515625" customWidth="1" style="1" min="8076" max="8076"/>
    <col width="14.42578125" bestFit="1" customWidth="1" style="1" min="8077" max="8077"/>
    <col width="16" customWidth="1" style="1" min="8078" max="8080"/>
    <col width="14.42578125" bestFit="1" customWidth="1" style="1" min="8081" max="8081"/>
    <col width="11.42578125" customWidth="1" style="1" min="8082" max="8318"/>
    <col width="1.7109375" customWidth="1" style="1" min="8319" max="8319"/>
    <col width="45.42578125" customWidth="1" style="1" min="8320" max="8320"/>
    <col width="1.140625" customWidth="1" style="1" min="8321" max="8321"/>
    <col width="16.5703125" customWidth="1" style="1" min="8322" max="8322"/>
    <col width="0.7109375" customWidth="1" style="1" min="8323" max="8323"/>
    <col width="16.5703125" customWidth="1" style="1" min="8324" max="8324"/>
    <col width="0.7109375" customWidth="1" style="1" min="8325" max="8325"/>
    <col width="18" customWidth="1" style="1" min="8326" max="8326"/>
    <col width="1.140625" customWidth="1" style="1" min="8327" max="8327"/>
    <col width="15.28515625" customWidth="1" style="1" min="8328" max="8328"/>
    <col width="0.7109375" customWidth="1" style="1" min="8329" max="8329"/>
    <col width="15.28515625" customWidth="1" style="1" min="8330" max="8330"/>
    <col width="0.7109375" customWidth="1" style="1" min="8331" max="8331"/>
    <col width="15.28515625" customWidth="1" style="1" min="8332" max="8332"/>
    <col width="14.42578125" bestFit="1" customWidth="1" style="1" min="8333" max="8333"/>
    <col width="16" customWidth="1" style="1" min="8334" max="8336"/>
    <col width="14.42578125" bestFit="1" customWidth="1" style="1" min="8337" max="8337"/>
    <col width="11.42578125" customWidth="1" style="1" min="8338" max="8574"/>
    <col width="1.7109375" customWidth="1" style="1" min="8575" max="8575"/>
    <col width="45.42578125" customWidth="1" style="1" min="8576" max="8576"/>
    <col width="1.140625" customWidth="1" style="1" min="8577" max="8577"/>
    <col width="16.5703125" customWidth="1" style="1" min="8578" max="8578"/>
    <col width="0.7109375" customWidth="1" style="1" min="8579" max="8579"/>
    <col width="16.5703125" customWidth="1" style="1" min="8580" max="8580"/>
    <col width="0.7109375" customWidth="1" style="1" min="8581" max="8581"/>
    <col width="18" customWidth="1" style="1" min="8582" max="8582"/>
    <col width="1.140625" customWidth="1" style="1" min="8583" max="8583"/>
    <col width="15.28515625" customWidth="1" style="1" min="8584" max="8584"/>
    <col width="0.7109375" customWidth="1" style="1" min="8585" max="8585"/>
    <col width="15.28515625" customWidth="1" style="1" min="8586" max="8586"/>
    <col width="0.7109375" customWidth="1" style="1" min="8587" max="8587"/>
    <col width="15.28515625" customWidth="1" style="1" min="8588" max="8588"/>
    <col width="14.42578125" bestFit="1" customWidth="1" style="1" min="8589" max="8589"/>
    <col width="16" customWidth="1" style="1" min="8590" max="8592"/>
    <col width="14.42578125" bestFit="1" customWidth="1" style="1" min="8593" max="8593"/>
    <col width="11.42578125" customWidth="1" style="1" min="8594" max="8830"/>
    <col width="1.7109375" customWidth="1" style="1" min="8831" max="8831"/>
    <col width="45.42578125" customWidth="1" style="1" min="8832" max="8832"/>
    <col width="1.140625" customWidth="1" style="1" min="8833" max="8833"/>
    <col width="16.5703125" customWidth="1" style="1" min="8834" max="8834"/>
    <col width="0.7109375" customWidth="1" style="1" min="8835" max="8835"/>
    <col width="16.5703125" customWidth="1" style="1" min="8836" max="8836"/>
    <col width="0.7109375" customWidth="1" style="1" min="8837" max="8837"/>
    <col width="18" customWidth="1" style="1" min="8838" max="8838"/>
    <col width="1.140625" customWidth="1" style="1" min="8839" max="8839"/>
    <col width="15.28515625" customWidth="1" style="1" min="8840" max="8840"/>
    <col width="0.7109375" customWidth="1" style="1" min="8841" max="8841"/>
    <col width="15.28515625" customWidth="1" style="1" min="8842" max="8842"/>
    <col width="0.7109375" customWidth="1" style="1" min="8843" max="8843"/>
    <col width="15.28515625" customWidth="1" style="1" min="8844" max="8844"/>
    <col width="14.42578125" bestFit="1" customWidth="1" style="1" min="8845" max="8845"/>
    <col width="16" customWidth="1" style="1" min="8846" max="8848"/>
    <col width="14.42578125" bestFit="1" customWidth="1" style="1" min="8849" max="8849"/>
    <col width="11.42578125" customWidth="1" style="1" min="8850" max="9086"/>
    <col width="1.7109375" customWidth="1" style="1" min="9087" max="9087"/>
    <col width="45.42578125" customWidth="1" style="1" min="9088" max="9088"/>
    <col width="1.140625" customWidth="1" style="1" min="9089" max="9089"/>
    <col width="16.5703125" customWidth="1" style="1" min="9090" max="9090"/>
    <col width="0.7109375" customWidth="1" style="1" min="9091" max="9091"/>
    <col width="16.5703125" customWidth="1" style="1" min="9092" max="9092"/>
    <col width="0.7109375" customWidth="1" style="1" min="9093" max="9093"/>
    <col width="18" customWidth="1" style="1" min="9094" max="9094"/>
    <col width="1.140625" customWidth="1" style="1" min="9095" max="9095"/>
    <col width="15.28515625" customWidth="1" style="1" min="9096" max="9096"/>
    <col width="0.7109375" customWidth="1" style="1" min="9097" max="9097"/>
    <col width="15.28515625" customWidth="1" style="1" min="9098" max="9098"/>
    <col width="0.7109375" customWidth="1" style="1" min="9099" max="9099"/>
    <col width="15.28515625" customWidth="1" style="1" min="9100" max="9100"/>
    <col width="14.42578125" bestFit="1" customWidth="1" style="1" min="9101" max="9101"/>
    <col width="16" customWidth="1" style="1" min="9102" max="9104"/>
    <col width="14.42578125" bestFit="1" customWidth="1" style="1" min="9105" max="9105"/>
    <col width="11.42578125" customWidth="1" style="1" min="9106" max="9342"/>
    <col width="1.7109375" customWidth="1" style="1" min="9343" max="9343"/>
    <col width="45.42578125" customWidth="1" style="1" min="9344" max="9344"/>
    <col width="1.140625" customWidth="1" style="1" min="9345" max="9345"/>
    <col width="16.5703125" customWidth="1" style="1" min="9346" max="9346"/>
    <col width="0.7109375" customWidth="1" style="1" min="9347" max="9347"/>
    <col width="16.5703125" customWidth="1" style="1" min="9348" max="9348"/>
    <col width="0.7109375" customWidth="1" style="1" min="9349" max="9349"/>
    <col width="18" customWidth="1" style="1" min="9350" max="9350"/>
    <col width="1.140625" customWidth="1" style="1" min="9351" max="9351"/>
    <col width="15.28515625" customWidth="1" style="1" min="9352" max="9352"/>
    <col width="0.7109375" customWidth="1" style="1" min="9353" max="9353"/>
    <col width="15.28515625" customWidth="1" style="1" min="9354" max="9354"/>
    <col width="0.7109375" customWidth="1" style="1" min="9355" max="9355"/>
    <col width="15.28515625" customWidth="1" style="1" min="9356" max="9356"/>
    <col width="14.42578125" bestFit="1" customWidth="1" style="1" min="9357" max="9357"/>
    <col width="16" customWidth="1" style="1" min="9358" max="9360"/>
    <col width="14.42578125" bestFit="1" customWidth="1" style="1" min="9361" max="9361"/>
    <col width="11.42578125" customWidth="1" style="1" min="9362" max="9598"/>
    <col width="1.7109375" customWidth="1" style="1" min="9599" max="9599"/>
    <col width="45.42578125" customWidth="1" style="1" min="9600" max="9600"/>
    <col width="1.140625" customWidth="1" style="1" min="9601" max="9601"/>
    <col width="16.5703125" customWidth="1" style="1" min="9602" max="9602"/>
    <col width="0.7109375" customWidth="1" style="1" min="9603" max="9603"/>
    <col width="16.5703125" customWidth="1" style="1" min="9604" max="9604"/>
    <col width="0.7109375" customWidth="1" style="1" min="9605" max="9605"/>
    <col width="18" customWidth="1" style="1" min="9606" max="9606"/>
    <col width="1.140625" customWidth="1" style="1" min="9607" max="9607"/>
    <col width="15.28515625" customWidth="1" style="1" min="9608" max="9608"/>
    <col width="0.7109375" customWidth="1" style="1" min="9609" max="9609"/>
    <col width="15.28515625" customWidth="1" style="1" min="9610" max="9610"/>
    <col width="0.7109375" customWidth="1" style="1" min="9611" max="9611"/>
    <col width="15.28515625" customWidth="1" style="1" min="9612" max="9612"/>
    <col width="14.42578125" bestFit="1" customWidth="1" style="1" min="9613" max="9613"/>
    <col width="16" customWidth="1" style="1" min="9614" max="9616"/>
    <col width="14.42578125" bestFit="1" customWidth="1" style="1" min="9617" max="9617"/>
    <col width="11.42578125" customWidth="1" style="1" min="9618" max="9854"/>
    <col width="1.7109375" customWidth="1" style="1" min="9855" max="9855"/>
    <col width="45.42578125" customWidth="1" style="1" min="9856" max="9856"/>
    <col width="1.140625" customWidth="1" style="1" min="9857" max="9857"/>
    <col width="16.5703125" customWidth="1" style="1" min="9858" max="9858"/>
    <col width="0.7109375" customWidth="1" style="1" min="9859" max="9859"/>
    <col width="16.5703125" customWidth="1" style="1" min="9860" max="9860"/>
    <col width="0.7109375" customWidth="1" style="1" min="9861" max="9861"/>
    <col width="18" customWidth="1" style="1" min="9862" max="9862"/>
    <col width="1.140625" customWidth="1" style="1" min="9863" max="9863"/>
    <col width="15.28515625" customWidth="1" style="1" min="9864" max="9864"/>
    <col width="0.7109375" customWidth="1" style="1" min="9865" max="9865"/>
    <col width="15.28515625" customWidth="1" style="1" min="9866" max="9866"/>
    <col width="0.7109375" customWidth="1" style="1" min="9867" max="9867"/>
    <col width="15.28515625" customWidth="1" style="1" min="9868" max="9868"/>
    <col width="14.42578125" bestFit="1" customWidth="1" style="1" min="9869" max="9869"/>
    <col width="16" customWidth="1" style="1" min="9870" max="9872"/>
    <col width="14.42578125" bestFit="1" customWidth="1" style="1" min="9873" max="9873"/>
    <col width="11.42578125" customWidth="1" style="1" min="9874" max="10110"/>
    <col width="1.7109375" customWidth="1" style="1" min="10111" max="10111"/>
    <col width="45.42578125" customWidth="1" style="1" min="10112" max="10112"/>
    <col width="1.140625" customWidth="1" style="1" min="10113" max="10113"/>
    <col width="16.5703125" customWidth="1" style="1" min="10114" max="10114"/>
    <col width="0.7109375" customWidth="1" style="1" min="10115" max="10115"/>
    <col width="16.5703125" customWidth="1" style="1" min="10116" max="10116"/>
    <col width="0.7109375" customWidth="1" style="1" min="10117" max="10117"/>
    <col width="18" customWidth="1" style="1" min="10118" max="10118"/>
    <col width="1.140625" customWidth="1" style="1" min="10119" max="10119"/>
    <col width="15.28515625" customWidth="1" style="1" min="10120" max="10120"/>
    <col width="0.7109375" customWidth="1" style="1" min="10121" max="10121"/>
    <col width="15.28515625" customWidth="1" style="1" min="10122" max="10122"/>
    <col width="0.7109375" customWidth="1" style="1" min="10123" max="10123"/>
    <col width="15.28515625" customWidth="1" style="1" min="10124" max="10124"/>
    <col width="14.42578125" bestFit="1" customWidth="1" style="1" min="10125" max="10125"/>
    <col width="16" customWidth="1" style="1" min="10126" max="10128"/>
    <col width="14.42578125" bestFit="1" customWidth="1" style="1" min="10129" max="10129"/>
    <col width="11.42578125" customWidth="1" style="1" min="10130" max="10366"/>
    <col width="1.7109375" customWidth="1" style="1" min="10367" max="10367"/>
    <col width="45.42578125" customWidth="1" style="1" min="10368" max="10368"/>
    <col width="1.140625" customWidth="1" style="1" min="10369" max="10369"/>
    <col width="16.5703125" customWidth="1" style="1" min="10370" max="10370"/>
    <col width="0.7109375" customWidth="1" style="1" min="10371" max="10371"/>
    <col width="16.5703125" customWidth="1" style="1" min="10372" max="10372"/>
    <col width="0.7109375" customWidth="1" style="1" min="10373" max="10373"/>
    <col width="18" customWidth="1" style="1" min="10374" max="10374"/>
    <col width="1.140625" customWidth="1" style="1" min="10375" max="10375"/>
    <col width="15.28515625" customWidth="1" style="1" min="10376" max="10376"/>
    <col width="0.7109375" customWidth="1" style="1" min="10377" max="10377"/>
    <col width="15.28515625" customWidth="1" style="1" min="10378" max="10378"/>
    <col width="0.7109375" customWidth="1" style="1" min="10379" max="10379"/>
    <col width="15.28515625" customWidth="1" style="1" min="10380" max="10380"/>
    <col width="14.42578125" bestFit="1" customWidth="1" style="1" min="10381" max="10381"/>
    <col width="16" customWidth="1" style="1" min="10382" max="10384"/>
    <col width="14.42578125" bestFit="1" customWidth="1" style="1" min="10385" max="10385"/>
    <col width="11.42578125" customWidth="1" style="1" min="10386" max="10622"/>
    <col width="1.7109375" customWidth="1" style="1" min="10623" max="10623"/>
    <col width="45.42578125" customWidth="1" style="1" min="10624" max="10624"/>
    <col width="1.140625" customWidth="1" style="1" min="10625" max="10625"/>
    <col width="16.5703125" customWidth="1" style="1" min="10626" max="10626"/>
    <col width="0.7109375" customWidth="1" style="1" min="10627" max="10627"/>
    <col width="16.5703125" customWidth="1" style="1" min="10628" max="10628"/>
    <col width="0.7109375" customWidth="1" style="1" min="10629" max="10629"/>
    <col width="18" customWidth="1" style="1" min="10630" max="10630"/>
    <col width="1.140625" customWidth="1" style="1" min="10631" max="10631"/>
    <col width="15.28515625" customWidth="1" style="1" min="10632" max="10632"/>
    <col width="0.7109375" customWidth="1" style="1" min="10633" max="10633"/>
    <col width="15.28515625" customWidth="1" style="1" min="10634" max="10634"/>
    <col width="0.7109375" customWidth="1" style="1" min="10635" max="10635"/>
    <col width="15.28515625" customWidth="1" style="1" min="10636" max="10636"/>
    <col width="14.42578125" bestFit="1" customWidth="1" style="1" min="10637" max="10637"/>
    <col width="16" customWidth="1" style="1" min="10638" max="10640"/>
    <col width="14.42578125" bestFit="1" customWidth="1" style="1" min="10641" max="10641"/>
    <col width="11.42578125" customWidth="1" style="1" min="10642" max="10878"/>
    <col width="1.7109375" customWidth="1" style="1" min="10879" max="10879"/>
    <col width="45.42578125" customWidth="1" style="1" min="10880" max="10880"/>
    <col width="1.140625" customWidth="1" style="1" min="10881" max="10881"/>
    <col width="16.5703125" customWidth="1" style="1" min="10882" max="10882"/>
    <col width="0.7109375" customWidth="1" style="1" min="10883" max="10883"/>
    <col width="16.5703125" customWidth="1" style="1" min="10884" max="10884"/>
    <col width="0.7109375" customWidth="1" style="1" min="10885" max="10885"/>
    <col width="18" customWidth="1" style="1" min="10886" max="10886"/>
    <col width="1.140625" customWidth="1" style="1" min="10887" max="10887"/>
    <col width="15.28515625" customWidth="1" style="1" min="10888" max="10888"/>
    <col width="0.7109375" customWidth="1" style="1" min="10889" max="10889"/>
    <col width="15.28515625" customWidth="1" style="1" min="10890" max="10890"/>
    <col width="0.7109375" customWidth="1" style="1" min="10891" max="10891"/>
    <col width="15.28515625" customWidth="1" style="1" min="10892" max="10892"/>
    <col width="14.42578125" bestFit="1" customWidth="1" style="1" min="10893" max="10893"/>
    <col width="16" customWidth="1" style="1" min="10894" max="10896"/>
    <col width="14.42578125" bestFit="1" customWidth="1" style="1" min="10897" max="10897"/>
    <col width="11.42578125" customWidth="1" style="1" min="10898" max="11134"/>
    <col width="1.7109375" customWidth="1" style="1" min="11135" max="11135"/>
    <col width="45.42578125" customWidth="1" style="1" min="11136" max="11136"/>
    <col width="1.140625" customWidth="1" style="1" min="11137" max="11137"/>
    <col width="16.5703125" customWidth="1" style="1" min="11138" max="11138"/>
    <col width="0.7109375" customWidth="1" style="1" min="11139" max="11139"/>
    <col width="16.5703125" customWidth="1" style="1" min="11140" max="11140"/>
    <col width="0.7109375" customWidth="1" style="1" min="11141" max="11141"/>
    <col width="18" customWidth="1" style="1" min="11142" max="11142"/>
    <col width="1.140625" customWidth="1" style="1" min="11143" max="11143"/>
    <col width="15.28515625" customWidth="1" style="1" min="11144" max="11144"/>
    <col width="0.7109375" customWidth="1" style="1" min="11145" max="11145"/>
    <col width="15.28515625" customWidth="1" style="1" min="11146" max="11146"/>
    <col width="0.7109375" customWidth="1" style="1" min="11147" max="11147"/>
    <col width="15.28515625" customWidth="1" style="1" min="11148" max="11148"/>
    <col width="14.42578125" bestFit="1" customWidth="1" style="1" min="11149" max="11149"/>
    <col width="16" customWidth="1" style="1" min="11150" max="11152"/>
    <col width="14.42578125" bestFit="1" customWidth="1" style="1" min="11153" max="11153"/>
    <col width="11.42578125" customWidth="1" style="1" min="11154" max="11390"/>
    <col width="1.7109375" customWidth="1" style="1" min="11391" max="11391"/>
    <col width="45.42578125" customWidth="1" style="1" min="11392" max="11392"/>
    <col width="1.140625" customWidth="1" style="1" min="11393" max="11393"/>
    <col width="16.5703125" customWidth="1" style="1" min="11394" max="11394"/>
    <col width="0.7109375" customWidth="1" style="1" min="11395" max="11395"/>
    <col width="16.5703125" customWidth="1" style="1" min="11396" max="11396"/>
    <col width="0.7109375" customWidth="1" style="1" min="11397" max="11397"/>
    <col width="18" customWidth="1" style="1" min="11398" max="11398"/>
    <col width="1.140625" customWidth="1" style="1" min="11399" max="11399"/>
    <col width="15.28515625" customWidth="1" style="1" min="11400" max="11400"/>
    <col width="0.7109375" customWidth="1" style="1" min="11401" max="11401"/>
    <col width="15.28515625" customWidth="1" style="1" min="11402" max="11402"/>
    <col width="0.7109375" customWidth="1" style="1" min="11403" max="11403"/>
    <col width="15.28515625" customWidth="1" style="1" min="11404" max="11404"/>
    <col width="14.42578125" bestFit="1" customWidth="1" style="1" min="11405" max="11405"/>
    <col width="16" customWidth="1" style="1" min="11406" max="11408"/>
    <col width="14.42578125" bestFit="1" customWidth="1" style="1" min="11409" max="11409"/>
    <col width="11.42578125" customWidth="1" style="1" min="11410" max="11646"/>
    <col width="1.7109375" customWidth="1" style="1" min="11647" max="11647"/>
    <col width="45.42578125" customWidth="1" style="1" min="11648" max="11648"/>
    <col width="1.140625" customWidth="1" style="1" min="11649" max="11649"/>
    <col width="16.5703125" customWidth="1" style="1" min="11650" max="11650"/>
    <col width="0.7109375" customWidth="1" style="1" min="11651" max="11651"/>
    <col width="16.5703125" customWidth="1" style="1" min="11652" max="11652"/>
    <col width="0.7109375" customWidth="1" style="1" min="11653" max="11653"/>
    <col width="18" customWidth="1" style="1" min="11654" max="11654"/>
    <col width="1.140625" customWidth="1" style="1" min="11655" max="11655"/>
    <col width="15.28515625" customWidth="1" style="1" min="11656" max="11656"/>
    <col width="0.7109375" customWidth="1" style="1" min="11657" max="11657"/>
    <col width="15.28515625" customWidth="1" style="1" min="11658" max="11658"/>
    <col width="0.7109375" customWidth="1" style="1" min="11659" max="11659"/>
    <col width="15.28515625" customWidth="1" style="1" min="11660" max="11660"/>
    <col width="14.42578125" bestFit="1" customWidth="1" style="1" min="11661" max="11661"/>
    <col width="16" customWidth="1" style="1" min="11662" max="11664"/>
    <col width="14.42578125" bestFit="1" customWidth="1" style="1" min="11665" max="11665"/>
    <col width="11.42578125" customWidth="1" style="1" min="11666" max="11902"/>
    <col width="1.7109375" customWidth="1" style="1" min="11903" max="11903"/>
    <col width="45.42578125" customWidth="1" style="1" min="11904" max="11904"/>
    <col width="1.140625" customWidth="1" style="1" min="11905" max="11905"/>
    <col width="16.5703125" customWidth="1" style="1" min="11906" max="11906"/>
    <col width="0.7109375" customWidth="1" style="1" min="11907" max="11907"/>
    <col width="16.5703125" customWidth="1" style="1" min="11908" max="11908"/>
    <col width="0.7109375" customWidth="1" style="1" min="11909" max="11909"/>
    <col width="18" customWidth="1" style="1" min="11910" max="11910"/>
    <col width="1.140625" customWidth="1" style="1" min="11911" max="11911"/>
    <col width="15.28515625" customWidth="1" style="1" min="11912" max="11912"/>
    <col width="0.7109375" customWidth="1" style="1" min="11913" max="11913"/>
    <col width="15.28515625" customWidth="1" style="1" min="11914" max="11914"/>
    <col width="0.7109375" customWidth="1" style="1" min="11915" max="11915"/>
    <col width="15.28515625" customWidth="1" style="1" min="11916" max="11916"/>
    <col width="14.42578125" bestFit="1" customWidth="1" style="1" min="11917" max="11917"/>
    <col width="16" customWidth="1" style="1" min="11918" max="11920"/>
    <col width="14.42578125" bestFit="1" customWidth="1" style="1" min="11921" max="11921"/>
    <col width="11.42578125" customWidth="1" style="1" min="11922" max="12158"/>
    <col width="1.7109375" customWidth="1" style="1" min="12159" max="12159"/>
    <col width="45.42578125" customWidth="1" style="1" min="12160" max="12160"/>
    <col width="1.140625" customWidth="1" style="1" min="12161" max="12161"/>
    <col width="16.5703125" customWidth="1" style="1" min="12162" max="12162"/>
    <col width="0.7109375" customWidth="1" style="1" min="12163" max="12163"/>
    <col width="16.5703125" customWidth="1" style="1" min="12164" max="12164"/>
    <col width="0.7109375" customWidth="1" style="1" min="12165" max="12165"/>
    <col width="18" customWidth="1" style="1" min="12166" max="12166"/>
    <col width="1.140625" customWidth="1" style="1" min="12167" max="12167"/>
    <col width="15.28515625" customWidth="1" style="1" min="12168" max="12168"/>
    <col width="0.7109375" customWidth="1" style="1" min="12169" max="12169"/>
    <col width="15.28515625" customWidth="1" style="1" min="12170" max="12170"/>
    <col width="0.7109375" customWidth="1" style="1" min="12171" max="12171"/>
    <col width="15.28515625" customWidth="1" style="1" min="12172" max="12172"/>
    <col width="14.42578125" bestFit="1" customWidth="1" style="1" min="12173" max="12173"/>
    <col width="16" customWidth="1" style="1" min="12174" max="12176"/>
    <col width="14.42578125" bestFit="1" customWidth="1" style="1" min="12177" max="12177"/>
    <col width="11.42578125" customWidth="1" style="1" min="12178" max="12414"/>
    <col width="1.7109375" customWidth="1" style="1" min="12415" max="12415"/>
    <col width="45.42578125" customWidth="1" style="1" min="12416" max="12416"/>
    <col width="1.140625" customWidth="1" style="1" min="12417" max="12417"/>
    <col width="16.5703125" customWidth="1" style="1" min="12418" max="12418"/>
    <col width="0.7109375" customWidth="1" style="1" min="12419" max="12419"/>
    <col width="16.5703125" customWidth="1" style="1" min="12420" max="12420"/>
    <col width="0.7109375" customWidth="1" style="1" min="12421" max="12421"/>
    <col width="18" customWidth="1" style="1" min="12422" max="12422"/>
    <col width="1.140625" customWidth="1" style="1" min="12423" max="12423"/>
    <col width="15.28515625" customWidth="1" style="1" min="12424" max="12424"/>
    <col width="0.7109375" customWidth="1" style="1" min="12425" max="12425"/>
    <col width="15.28515625" customWidth="1" style="1" min="12426" max="12426"/>
    <col width="0.7109375" customWidth="1" style="1" min="12427" max="12427"/>
    <col width="15.28515625" customWidth="1" style="1" min="12428" max="12428"/>
    <col width="14.42578125" bestFit="1" customWidth="1" style="1" min="12429" max="12429"/>
    <col width="16" customWidth="1" style="1" min="12430" max="12432"/>
    <col width="14.42578125" bestFit="1" customWidth="1" style="1" min="12433" max="12433"/>
    <col width="11.42578125" customWidth="1" style="1" min="12434" max="12670"/>
    <col width="1.7109375" customWidth="1" style="1" min="12671" max="12671"/>
    <col width="45.42578125" customWidth="1" style="1" min="12672" max="12672"/>
    <col width="1.140625" customWidth="1" style="1" min="12673" max="12673"/>
    <col width="16.5703125" customWidth="1" style="1" min="12674" max="12674"/>
    <col width="0.7109375" customWidth="1" style="1" min="12675" max="12675"/>
    <col width="16.5703125" customWidth="1" style="1" min="12676" max="12676"/>
    <col width="0.7109375" customWidth="1" style="1" min="12677" max="12677"/>
    <col width="18" customWidth="1" style="1" min="12678" max="12678"/>
    <col width="1.140625" customWidth="1" style="1" min="12679" max="12679"/>
    <col width="15.28515625" customWidth="1" style="1" min="12680" max="12680"/>
    <col width="0.7109375" customWidth="1" style="1" min="12681" max="12681"/>
    <col width="15.28515625" customWidth="1" style="1" min="12682" max="12682"/>
    <col width="0.7109375" customWidth="1" style="1" min="12683" max="12683"/>
    <col width="15.28515625" customWidth="1" style="1" min="12684" max="12684"/>
    <col width="14.42578125" bestFit="1" customWidth="1" style="1" min="12685" max="12685"/>
    <col width="16" customWidth="1" style="1" min="12686" max="12688"/>
    <col width="14.42578125" bestFit="1" customWidth="1" style="1" min="12689" max="12689"/>
    <col width="11.42578125" customWidth="1" style="1" min="12690" max="12926"/>
    <col width="1.7109375" customWidth="1" style="1" min="12927" max="12927"/>
    <col width="45.42578125" customWidth="1" style="1" min="12928" max="12928"/>
    <col width="1.140625" customWidth="1" style="1" min="12929" max="12929"/>
    <col width="16.5703125" customWidth="1" style="1" min="12930" max="12930"/>
    <col width="0.7109375" customWidth="1" style="1" min="12931" max="12931"/>
    <col width="16.5703125" customWidth="1" style="1" min="12932" max="12932"/>
    <col width="0.7109375" customWidth="1" style="1" min="12933" max="12933"/>
    <col width="18" customWidth="1" style="1" min="12934" max="12934"/>
    <col width="1.140625" customWidth="1" style="1" min="12935" max="12935"/>
    <col width="15.28515625" customWidth="1" style="1" min="12936" max="12936"/>
    <col width="0.7109375" customWidth="1" style="1" min="12937" max="12937"/>
    <col width="15.28515625" customWidth="1" style="1" min="12938" max="12938"/>
    <col width="0.7109375" customWidth="1" style="1" min="12939" max="12939"/>
    <col width="15.28515625" customWidth="1" style="1" min="12940" max="12940"/>
    <col width="14.42578125" bestFit="1" customWidth="1" style="1" min="12941" max="12941"/>
    <col width="16" customWidth="1" style="1" min="12942" max="12944"/>
    <col width="14.42578125" bestFit="1" customWidth="1" style="1" min="12945" max="12945"/>
    <col width="11.42578125" customWidth="1" style="1" min="12946" max="13182"/>
    <col width="1.7109375" customWidth="1" style="1" min="13183" max="13183"/>
    <col width="45.42578125" customWidth="1" style="1" min="13184" max="13184"/>
    <col width="1.140625" customWidth="1" style="1" min="13185" max="13185"/>
    <col width="16.5703125" customWidth="1" style="1" min="13186" max="13186"/>
    <col width="0.7109375" customWidth="1" style="1" min="13187" max="13187"/>
    <col width="16.5703125" customWidth="1" style="1" min="13188" max="13188"/>
    <col width="0.7109375" customWidth="1" style="1" min="13189" max="13189"/>
    <col width="18" customWidth="1" style="1" min="13190" max="13190"/>
    <col width="1.140625" customWidth="1" style="1" min="13191" max="13191"/>
    <col width="15.28515625" customWidth="1" style="1" min="13192" max="13192"/>
    <col width="0.7109375" customWidth="1" style="1" min="13193" max="13193"/>
    <col width="15.28515625" customWidth="1" style="1" min="13194" max="13194"/>
    <col width="0.7109375" customWidth="1" style="1" min="13195" max="13195"/>
    <col width="15.28515625" customWidth="1" style="1" min="13196" max="13196"/>
    <col width="14.42578125" bestFit="1" customWidth="1" style="1" min="13197" max="13197"/>
    <col width="16" customWidth="1" style="1" min="13198" max="13200"/>
    <col width="14.42578125" bestFit="1" customWidth="1" style="1" min="13201" max="13201"/>
    <col width="11.42578125" customWidth="1" style="1" min="13202" max="13438"/>
    <col width="1.7109375" customWidth="1" style="1" min="13439" max="13439"/>
    <col width="45.42578125" customWidth="1" style="1" min="13440" max="13440"/>
    <col width="1.140625" customWidth="1" style="1" min="13441" max="13441"/>
    <col width="16.5703125" customWidth="1" style="1" min="13442" max="13442"/>
    <col width="0.7109375" customWidth="1" style="1" min="13443" max="13443"/>
    <col width="16.5703125" customWidth="1" style="1" min="13444" max="13444"/>
    <col width="0.7109375" customWidth="1" style="1" min="13445" max="13445"/>
    <col width="18" customWidth="1" style="1" min="13446" max="13446"/>
    <col width="1.140625" customWidth="1" style="1" min="13447" max="13447"/>
    <col width="15.28515625" customWidth="1" style="1" min="13448" max="13448"/>
    <col width="0.7109375" customWidth="1" style="1" min="13449" max="13449"/>
    <col width="15.28515625" customWidth="1" style="1" min="13450" max="13450"/>
    <col width="0.7109375" customWidth="1" style="1" min="13451" max="13451"/>
    <col width="15.28515625" customWidth="1" style="1" min="13452" max="13452"/>
    <col width="14.42578125" bestFit="1" customWidth="1" style="1" min="13453" max="13453"/>
    <col width="16" customWidth="1" style="1" min="13454" max="13456"/>
    <col width="14.42578125" bestFit="1" customWidth="1" style="1" min="13457" max="13457"/>
    <col width="11.42578125" customWidth="1" style="1" min="13458" max="13694"/>
    <col width="1.7109375" customWidth="1" style="1" min="13695" max="13695"/>
    <col width="45.42578125" customWidth="1" style="1" min="13696" max="13696"/>
    <col width="1.140625" customWidth="1" style="1" min="13697" max="13697"/>
    <col width="16.5703125" customWidth="1" style="1" min="13698" max="13698"/>
    <col width="0.7109375" customWidth="1" style="1" min="13699" max="13699"/>
    <col width="16.5703125" customWidth="1" style="1" min="13700" max="13700"/>
    <col width="0.7109375" customWidth="1" style="1" min="13701" max="13701"/>
    <col width="18" customWidth="1" style="1" min="13702" max="13702"/>
    <col width="1.140625" customWidth="1" style="1" min="13703" max="13703"/>
    <col width="15.28515625" customWidth="1" style="1" min="13704" max="13704"/>
    <col width="0.7109375" customWidth="1" style="1" min="13705" max="13705"/>
    <col width="15.28515625" customWidth="1" style="1" min="13706" max="13706"/>
    <col width="0.7109375" customWidth="1" style="1" min="13707" max="13707"/>
    <col width="15.28515625" customWidth="1" style="1" min="13708" max="13708"/>
    <col width="14.42578125" bestFit="1" customWidth="1" style="1" min="13709" max="13709"/>
    <col width="16" customWidth="1" style="1" min="13710" max="13712"/>
    <col width="14.42578125" bestFit="1" customWidth="1" style="1" min="13713" max="13713"/>
    <col width="11.42578125" customWidth="1" style="1" min="13714" max="13950"/>
    <col width="1.7109375" customWidth="1" style="1" min="13951" max="13951"/>
    <col width="45.42578125" customWidth="1" style="1" min="13952" max="13952"/>
    <col width="1.140625" customWidth="1" style="1" min="13953" max="13953"/>
    <col width="16.5703125" customWidth="1" style="1" min="13954" max="13954"/>
    <col width="0.7109375" customWidth="1" style="1" min="13955" max="13955"/>
    <col width="16.5703125" customWidth="1" style="1" min="13956" max="13956"/>
    <col width="0.7109375" customWidth="1" style="1" min="13957" max="13957"/>
    <col width="18" customWidth="1" style="1" min="13958" max="13958"/>
    <col width="1.140625" customWidth="1" style="1" min="13959" max="13959"/>
    <col width="15.28515625" customWidth="1" style="1" min="13960" max="13960"/>
    <col width="0.7109375" customWidth="1" style="1" min="13961" max="13961"/>
    <col width="15.28515625" customWidth="1" style="1" min="13962" max="13962"/>
    <col width="0.7109375" customWidth="1" style="1" min="13963" max="13963"/>
    <col width="15.28515625" customWidth="1" style="1" min="13964" max="13964"/>
    <col width="14.42578125" bestFit="1" customWidth="1" style="1" min="13965" max="13965"/>
    <col width="16" customWidth="1" style="1" min="13966" max="13968"/>
    <col width="14.42578125" bestFit="1" customWidth="1" style="1" min="13969" max="13969"/>
    <col width="11.42578125" customWidth="1" style="1" min="13970" max="14206"/>
    <col width="1.7109375" customWidth="1" style="1" min="14207" max="14207"/>
    <col width="45.42578125" customWidth="1" style="1" min="14208" max="14208"/>
    <col width="1.140625" customWidth="1" style="1" min="14209" max="14209"/>
    <col width="16.5703125" customWidth="1" style="1" min="14210" max="14210"/>
    <col width="0.7109375" customWidth="1" style="1" min="14211" max="14211"/>
    <col width="16.5703125" customWidth="1" style="1" min="14212" max="14212"/>
    <col width="0.7109375" customWidth="1" style="1" min="14213" max="14213"/>
    <col width="18" customWidth="1" style="1" min="14214" max="14214"/>
    <col width="1.140625" customWidth="1" style="1" min="14215" max="14215"/>
    <col width="15.28515625" customWidth="1" style="1" min="14216" max="14216"/>
    <col width="0.7109375" customWidth="1" style="1" min="14217" max="14217"/>
    <col width="15.28515625" customWidth="1" style="1" min="14218" max="14218"/>
    <col width="0.7109375" customWidth="1" style="1" min="14219" max="14219"/>
    <col width="15.28515625" customWidth="1" style="1" min="14220" max="14220"/>
    <col width="14.42578125" bestFit="1" customWidth="1" style="1" min="14221" max="14221"/>
    <col width="16" customWidth="1" style="1" min="14222" max="14224"/>
    <col width="14.42578125" bestFit="1" customWidth="1" style="1" min="14225" max="14225"/>
    <col width="11.42578125" customWidth="1" style="1" min="14226" max="14462"/>
    <col width="1.7109375" customWidth="1" style="1" min="14463" max="14463"/>
    <col width="45.42578125" customWidth="1" style="1" min="14464" max="14464"/>
    <col width="1.140625" customWidth="1" style="1" min="14465" max="14465"/>
    <col width="16.5703125" customWidth="1" style="1" min="14466" max="14466"/>
    <col width="0.7109375" customWidth="1" style="1" min="14467" max="14467"/>
    <col width="16.5703125" customWidth="1" style="1" min="14468" max="14468"/>
    <col width="0.7109375" customWidth="1" style="1" min="14469" max="14469"/>
    <col width="18" customWidth="1" style="1" min="14470" max="14470"/>
    <col width="1.140625" customWidth="1" style="1" min="14471" max="14471"/>
    <col width="15.28515625" customWidth="1" style="1" min="14472" max="14472"/>
    <col width="0.7109375" customWidth="1" style="1" min="14473" max="14473"/>
    <col width="15.28515625" customWidth="1" style="1" min="14474" max="14474"/>
    <col width="0.7109375" customWidth="1" style="1" min="14475" max="14475"/>
    <col width="15.28515625" customWidth="1" style="1" min="14476" max="14476"/>
    <col width="14.42578125" bestFit="1" customWidth="1" style="1" min="14477" max="14477"/>
    <col width="16" customWidth="1" style="1" min="14478" max="14480"/>
    <col width="14.42578125" bestFit="1" customWidth="1" style="1" min="14481" max="14481"/>
    <col width="11.42578125" customWidth="1" style="1" min="14482" max="14718"/>
    <col width="1.7109375" customWidth="1" style="1" min="14719" max="14719"/>
    <col width="45.42578125" customWidth="1" style="1" min="14720" max="14720"/>
    <col width="1.140625" customWidth="1" style="1" min="14721" max="14721"/>
    <col width="16.5703125" customWidth="1" style="1" min="14722" max="14722"/>
    <col width="0.7109375" customWidth="1" style="1" min="14723" max="14723"/>
    <col width="16.5703125" customWidth="1" style="1" min="14724" max="14724"/>
    <col width="0.7109375" customWidth="1" style="1" min="14725" max="14725"/>
    <col width="18" customWidth="1" style="1" min="14726" max="14726"/>
    <col width="1.140625" customWidth="1" style="1" min="14727" max="14727"/>
    <col width="15.28515625" customWidth="1" style="1" min="14728" max="14728"/>
    <col width="0.7109375" customWidth="1" style="1" min="14729" max="14729"/>
    <col width="15.28515625" customWidth="1" style="1" min="14730" max="14730"/>
    <col width="0.7109375" customWidth="1" style="1" min="14731" max="14731"/>
    <col width="15.28515625" customWidth="1" style="1" min="14732" max="14732"/>
    <col width="14.42578125" bestFit="1" customWidth="1" style="1" min="14733" max="14733"/>
    <col width="16" customWidth="1" style="1" min="14734" max="14736"/>
    <col width="14.42578125" bestFit="1" customWidth="1" style="1" min="14737" max="14737"/>
    <col width="11.42578125" customWidth="1" style="1" min="14738" max="14974"/>
    <col width="1.7109375" customWidth="1" style="1" min="14975" max="14975"/>
    <col width="45.42578125" customWidth="1" style="1" min="14976" max="14976"/>
    <col width="1.140625" customWidth="1" style="1" min="14977" max="14977"/>
    <col width="16.5703125" customWidth="1" style="1" min="14978" max="14978"/>
    <col width="0.7109375" customWidth="1" style="1" min="14979" max="14979"/>
    <col width="16.5703125" customWidth="1" style="1" min="14980" max="14980"/>
    <col width="0.7109375" customWidth="1" style="1" min="14981" max="14981"/>
    <col width="18" customWidth="1" style="1" min="14982" max="14982"/>
    <col width="1.140625" customWidth="1" style="1" min="14983" max="14983"/>
    <col width="15.28515625" customWidth="1" style="1" min="14984" max="14984"/>
    <col width="0.7109375" customWidth="1" style="1" min="14985" max="14985"/>
    <col width="15.28515625" customWidth="1" style="1" min="14986" max="14986"/>
    <col width="0.7109375" customWidth="1" style="1" min="14987" max="14987"/>
    <col width="15.28515625" customWidth="1" style="1" min="14988" max="14988"/>
    <col width="14.42578125" bestFit="1" customWidth="1" style="1" min="14989" max="14989"/>
    <col width="16" customWidth="1" style="1" min="14990" max="14992"/>
    <col width="14.42578125" bestFit="1" customWidth="1" style="1" min="14993" max="14993"/>
    <col width="11.42578125" customWidth="1" style="1" min="14994" max="15230"/>
    <col width="1.7109375" customWidth="1" style="1" min="15231" max="15231"/>
    <col width="45.42578125" customWidth="1" style="1" min="15232" max="15232"/>
    <col width="1.140625" customWidth="1" style="1" min="15233" max="15233"/>
    <col width="16.5703125" customWidth="1" style="1" min="15234" max="15234"/>
    <col width="0.7109375" customWidth="1" style="1" min="15235" max="15235"/>
    <col width="16.5703125" customWidth="1" style="1" min="15236" max="15236"/>
    <col width="0.7109375" customWidth="1" style="1" min="15237" max="15237"/>
    <col width="18" customWidth="1" style="1" min="15238" max="15238"/>
    <col width="1.140625" customWidth="1" style="1" min="15239" max="15239"/>
    <col width="15.28515625" customWidth="1" style="1" min="15240" max="15240"/>
    <col width="0.7109375" customWidth="1" style="1" min="15241" max="15241"/>
    <col width="15.28515625" customWidth="1" style="1" min="15242" max="15242"/>
    <col width="0.7109375" customWidth="1" style="1" min="15243" max="15243"/>
    <col width="15.28515625" customWidth="1" style="1" min="15244" max="15244"/>
    <col width="14.42578125" bestFit="1" customWidth="1" style="1" min="15245" max="15245"/>
    <col width="16" customWidth="1" style="1" min="15246" max="15248"/>
    <col width="14.42578125" bestFit="1" customWidth="1" style="1" min="15249" max="15249"/>
    <col width="11.42578125" customWidth="1" style="1" min="15250" max="15486"/>
    <col width="1.7109375" customWidth="1" style="1" min="15487" max="15487"/>
    <col width="45.42578125" customWidth="1" style="1" min="15488" max="15488"/>
    <col width="1.140625" customWidth="1" style="1" min="15489" max="15489"/>
    <col width="16.5703125" customWidth="1" style="1" min="15490" max="15490"/>
    <col width="0.7109375" customWidth="1" style="1" min="15491" max="15491"/>
    <col width="16.5703125" customWidth="1" style="1" min="15492" max="15492"/>
    <col width="0.7109375" customWidth="1" style="1" min="15493" max="15493"/>
    <col width="18" customWidth="1" style="1" min="15494" max="15494"/>
    <col width="1.140625" customWidth="1" style="1" min="15495" max="15495"/>
    <col width="15.28515625" customWidth="1" style="1" min="15496" max="15496"/>
    <col width="0.7109375" customWidth="1" style="1" min="15497" max="15497"/>
    <col width="15.28515625" customWidth="1" style="1" min="15498" max="15498"/>
    <col width="0.7109375" customWidth="1" style="1" min="15499" max="15499"/>
    <col width="15.28515625" customWidth="1" style="1" min="15500" max="15500"/>
    <col width="14.42578125" bestFit="1" customWidth="1" style="1" min="15501" max="15501"/>
    <col width="16" customWidth="1" style="1" min="15502" max="15504"/>
    <col width="14.42578125" bestFit="1" customWidth="1" style="1" min="15505" max="15505"/>
    <col width="11.42578125" customWidth="1" style="1" min="15506" max="15742"/>
    <col width="1.7109375" customWidth="1" style="1" min="15743" max="15743"/>
    <col width="45.42578125" customWidth="1" style="1" min="15744" max="15744"/>
    <col width="1.140625" customWidth="1" style="1" min="15745" max="15745"/>
    <col width="16.5703125" customWidth="1" style="1" min="15746" max="15746"/>
    <col width="0.7109375" customWidth="1" style="1" min="15747" max="15747"/>
    <col width="16.5703125" customWidth="1" style="1" min="15748" max="15748"/>
    <col width="0.7109375" customWidth="1" style="1" min="15749" max="15749"/>
    <col width="18" customWidth="1" style="1" min="15750" max="15750"/>
    <col width="1.140625" customWidth="1" style="1" min="15751" max="15751"/>
    <col width="15.28515625" customWidth="1" style="1" min="15752" max="15752"/>
    <col width="0.7109375" customWidth="1" style="1" min="15753" max="15753"/>
    <col width="15.28515625" customWidth="1" style="1" min="15754" max="15754"/>
    <col width="0.7109375" customWidth="1" style="1" min="15755" max="15755"/>
    <col width="15.28515625" customWidth="1" style="1" min="15756" max="15756"/>
    <col width="14.42578125" bestFit="1" customWidth="1" style="1" min="15757" max="15757"/>
    <col width="16" customWidth="1" style="1" min="15758" max="15760"/>
    <col width="14.42578125" bestFit="1" customWidth="1" style="1" min="15761" max="15761"/>
    <col width="11.42578125" customWidth="1" style="1" min="15762" max="15998"/>
    <col width="1.7109375" customWidth="1" style="1" min="15999" max="15999"/>
    <col width="45.42578125" customWidth="1" style="1" min="16000" max="16000"/>
    <col width="1.140625" customWidth="1" style="1" min="16001" max="16001"/>
    <col width="16.5703125" customWidth="1" style="1" min="16002" max="16002"/>
    <col width="0.7109375" customWidth="1" style="1" min="16003" max="16003"/>
    <col width="16.5703125" customWidth="1" style="1" min="16004" max="16004"/>
    <col width="0.7109375" customWidth="1" style="1" min="16005" max="16005"/>
    <col width="18" customWidth="1" style="1" min="16006" max="16006"/>
    <col width="1.140625" customWidth="1" style="1" min="16007" max="16007"/>
    <col width="15.28515625" customWidth="1" style="1" min="16008" max="16008"/>
    <col width="0.7109375" customWidth="1" style="1" min="16009" max="16009"/>
    <col width="15.28515625" customWidth="1" style="1" min="16010" max="16010"/>
    <col width="0.7109375" customWidth="1" style="1" min="16011" max="16011"/>
    <col width="15.28515625" customWidth="1" style="1" min="16012" max="16012"/>
    <col width="14.42578125" bestFit="1" customWidth="1" style="1" min="16013" max="16013"/>
    <col width="16" customWidth="1" style="1" min="16014" max="16016"/>
    <col width="14.42578125" bestFit="1" customWidth="1" style="1" min="16017" max="16017"/>
    <col width="11.42578125" customWidth="1" style="1" min="16018" max="16384"/>
  </cols>
  <sheetData>
    <row r="1" ht="7.5" customHeight="1">
      <c r="A1" s="1" t="inlineStr">
        <is>
          <t>                                                                                                                    </t>
        </is>
      </c>
      <c r="Q1" t="inlineStr">
        <is>
          <t>Actualizado: 24/09/2025 15:42:40</t>
        </is>
      </c>
    </row>
    <row r="2" ht="18.75" customHeight="1" thickBot="1">
      <c r="B2" s="142" t="inlineStr">
        <is>
          <t>RESUMEN DEUDA NO GRUPO (datos en Miles)</t>
        </is>
      </c>
      <c r="C2" s="179" t="n"/>
      <c r="D2" s="179" t="n"/>
      <c r="E2" s="179" t="n"/>
      <c r="F2" s="179" t="n"/>
      <c r="G2" s="179" t="n"/>
      <c r="H2" s="179" t="n"/>
      <c r="I2" s="179" t="n"/>
      <c r="J2" s="179" t="n"/>
      <c r="K2" s="179" t="n"/>
      <c r="L2" s="179" t="n"/>
      <c r="M2" s="179" t="n"/>
      <c r="N2" s="179" t="n"/>
      <c r="O2" s="142" t="n"/>
    </row>
    <row r="3" ht="21" customHeight="1" thickBot="1">
      <c r="P3" s="2" t="inlineStr">
        <is>
          <t>Fecha euros al cierre mes</t>
        </is>
      </c>
      <c r="Q3" s="176" t="n">
        <v>45838</v>
      </c>
    </row>
    <row r="4" ht="21" customFormat="1" customHeight="1" s="2" thickBot="1">
      <c r="B4" s="180" t="inlineStr">
        <is>
          <t>LIBRERÍAS COLOMBIA</t>
        </is>
      </c>
      <c r="C4" s="181" t="n"/>
      <c r="D4" s="181" t="n"/>
      <c r="E4" s="181" t="n"/>
      <c r="F4" s="181" t="n"/>
      <c r="G4" s="181" t="n"/>
      <c r="H4" s="182" t="n"/>
      <c r="P4" s="2" t="inlineStr">
        <is>
          <t>Valor euros al cierre mes</t>
        </is>
      </c>
      <c r="Q4" s="177" t="n">
        <v>4777.18</v>
      </c>
    </row>
    <row r="5" ht="20.25" customFormat="1" customHeight="1" s="2">
      <c r="B5" s="3" t="inlineStr">
        <is>
          <t>Junio</t>
        </is>
      </c>
      <c r="C5" s="2" t="inlineStr">
        <is>
          <t>*</t>
        </is>
      </c>
      <c r="N5" s="1" t="n"/>
      <c r="O5" s="1" t="n"/>
    </row>
    <row r="6" ht="15" customHeight="1">
      <c r="B6" s="4" t="n"/>
    </row>
    <row r="7" ht="12.75" customHeight="1">
      <c r="B7" s="5" t="n"/>
      <c r="C7" s="5" t="n"/>
      <c r="D7" s="146" t="inlineStr">
        <is>
          <t>TIPO DE CAMBIO</t>
        </is>
      </c>
      <c r="E7" s="183" t="n"/>
      <c r="F7" s="147" t="inlineStr">
        <is>
          <t>CIERRE</t>
        </is>
      </c>
      <c r="G7" s="183" t="n"/>
      <c r="H7" s="148">
        <f>+B5&amp;" (Mes)"</f>
        <v/>
      </c>
      <c r="I7" s="182" t="n"/>
      <c r="J7" s="151" t="n">
        <v>4544.01</v>
      </c>
      <c r="K7" s="182" t="n"/>
      <c r="L7" s="171" t="inlineStr">
        <is>
          <t>* cambiar el mes de cierre y colocar la tasa en euros</t>
        </is>
      </c>
      <c r="N7" s="45" t="n"/>
      <c r="O7" s="45" t="n"/>
    </row>
    <row r="8" ht="12.75" customHeight="1">
      <c r="B8" s="5" t="n"/>
      <c r="C8" s="5" t="n"/>
      <c r="D8" s="184" t="n"/>
      <c r="E8" s="185" t="n"/>
      <c r="F8" s="184" t="n"/>
      <c r="G8" s="185" t="n"/>
      <c r="H8" s="148">
        <f>+B5&amp;" (Mes)"</f>
        <v/>
      </c>
      <c r="I8" s="182" t="n"/>
      <c r="J8" s="151" t="n">
        <v>4777.18</v>
      </c>
      <c r="K8" s="182" t="n"/>
      <c r="L8" s="171" t="inlineStr">
        <is>
          <t>pasa a ser el mes anterior nombre y tasa</t>
        </is>
      </c>
      <c r="N8" s="46" t="n"/>
      <c r="O8" s="46" t="n"/>
      <c r="Q8" s="186" t="n">
        <v>16584089.482</v>
      </c>
      <c r="R8" s="187" t="inlineStr">
        <is>
          <t>focus</t>
        </is>
      </c>
    </row>
    <row r="9" ht="12.75" customHeight="1">
      <c r="B9" s="5" t="n"/>
      <c r="C9" s="5" t="n"/>
      <c r="D9" s="184" t="n"/>
      <c r="E9" s="185" t="n"/>
      <c r="F9" s="188" t="n"/>
      <c r="G9" s="189" t="n"/>
      <c r="H9" s="148" t="inlineStr">
        <is>
          <t>Diciembre A-1</t>
        </is>
      </c>
      <c r="I9" s="182" t="n"/>
      <c r="J9" s="151" t="n">
        <v>4565.67</v>
      </c>
      <c r="K9" s="182" t="n"/>
      <c r="N9" s="46" t="n"/>
      <c r="O9" s="46" t="n"/>
      <c r="Q9" s="187" t="n"/>
    </row>
    <row r="10" ht="12.75" customHeight="1">
      <c r="B10" s="5" t="n"/>
      <c r="C10" s="5" t="n"/>
      <c r="D10" s="188" t="n"/>
      <c r="E10" s="189" t="n"/>
      <c r="F10" s="147" t="inlineStr">
        <is>
          <t>PROMEDIO</t>
        </is>
      </c>
      <c r="G10" s="182" t="n"/>
      <c r="H10" s="157">
        <f>+B5</f>
        <v/>
      </c>
      <c r="I10" s="182" t="n"/>
      <c r="J10" s="147">
        <f>+AVERAGE(J7:K8)</f>
        <v/>
      </c>
      <c r="K10" s="182" t="n"/>
      <c r="N10" s="190">
        <f>+D15-H15</f>
        <v/>
      </c>
      <c r="Q10" s="187" t="n"/>
      <c r="R10" s="191" t="n"/>
      <c r="T10" s="115" t="n"/>
    </row>
    <row r="11">
      <c r="B11" s="4" t="n"/>
      <c r="P11" s="1" t="inlineStr">
        <is>
          <t> </t>
        </is>
      </c>
    </row>
    <row r="12" ht="12.75" customFormat="1" customHeight="1" s="6">
      <c r="B12" s="153" t="inlineStr">
        <is>
          <t>MES</t>
        </is>
      </c>
      <c r="D12" s="192" t="inlineStr">
        <is>
          <t>Datos en Moneda Local</t>
        </is>
      </c>
      <c r="E12" s="181" t="n"/>
      <c r="F12" s="181" t="n"/>
      <c r="G12" s="181" t="n"/>
      <c r="H12" s="182" t="n"/>
      <c r="I12" s="7" t="n"/>
      <c r="J12" s="192" t="inlineStr">
        <is>
          <t>Datos en  €</t>
        </is>
      </c>
      <c r="K12" s="181" t="n"/>
      <c r="L12" s="181" t="n"/>
      <c r="M12" s="181" t="n"/>
      <c r="N12" s="182" t="n"/>
      <c r="O12" s="158" t="n"/>
      <c r="P12" s="193" t="n"/>
      <c r="Q12" s="194" t="n"/>
      <c r="R12" s="1" t="n"/>
      <c r="S12" s="195" t="n"/>
    </row>
    <row r="13" ht="12.75" customFormat="1" customHeight="1" s="6">
      <c r="B13" s="196" t="n"/>
      <c r="D13" s="8" t="inlineStr">
        <is>
          <t>Vencida</t>
        </is>
      </c>
      <c r="F13" s="8" t="inlineStr">
        <is>
          <t>No Vencida</t>
        </is>
      </c>
      <c r="H13" s="8" t="inlineStr">
        <is>
          <t>Total Deuda</t>
        </is>
      </c>
      <c r="J13" s="8" t="inlineStr">
        <is>
          <t>Vencida</t>
        </is>
      </c>
      <c r="L13" s="8" t="inlineStr">
        <is>
          <t>No Vencida</t>
        </is>
      </c>
      <c r="N13" s="8" t="inlineStr">
        <is>
          <t>Total Deuda</t>
        </is>
      </c>
      <c r="O13" s="159" t="n"/>
      <c r="Q13" s="193" t="n"/>
    </row>
    <row r="14" ht="14.25" customHeight="1" thickBot="1">
      <c r="B14" s="9" t="inlineStr">
        <is>
          <t>Deuda bruta NO Grupo (Inicial)</t>
        </is>
      </c>
      <c r="D14" s="197">
        <f>SUM(D14:D17)</f>
        <v/>
      </c>
      <c r="E14" s="198" t="n"/>
      <c r="F14" s="197">
        <f>SUM(F14:F18)</f>
        <v/>
      </c>
      <c r="G14" s="198" t="n"/>
      <c r="H14" s="197">
        <f>SUM(H14:H18,H21)</f>
        <v/>
      </c>
      <c r="I14" s="199" t="n"/>
      <c r="J14" s="200">
        <f>+D14/$J$8</f>
        <v/>
      </c>
      <c r="K14" s="199" t="n"/>
      <c r="L14" s="200">
        <f>+F14/$J$8</f>
        <v/>
      </c>
      <c r="M14" s="199" t="n"/>
      <c r="N14" s="201">
        <f>+J14+L14</f>
        <v/>
      </c>
      <c r="O14" s="202" t="n"/>
      <c r="P14" s="1" t="inlineStr">
        <is>
          <t> </t>
        </is>
      </c>
      <c r="Q14" s="203" t="n"/>
    </row>
    <row r="15" ht="14.25" customHeight="1" thickBot="1">
      <c r="B15" s="11" t="inlineStr">
        <is>
          <t>- Cobros del mes</t>
        </is>
      </c>
      <c r="D15" s="204" t="n">
        <v>-727991.29</v>
      </c>
      <c r="E15" s="205" t="n"/>
      <c r="F15" s="206">
        <f>H15-D15</f>
        <v/>
      </c>
      <c r="G15" s="207" t="n"/>
      <c r="H15" s="208" t="n">
        <v>-5015993.777999997</v>
      </c>
      <c r="I15" s="10" t="n"/>
      <c r="J15" s="24">
        <f>+D15/$J$10</f>
        <v/>
      </c>
      <c r="K15" s="37" t="n"/>
      <c r="L15" s="24">
        <f>+F15/$J$10</f>
        <v/>
      </c>
      <c r="M15" s="37" t="n"/>
      <c r="N15" s="24">
        <f>+J15+L15</f>
        <v/>
      </c>
      <c r="O15" s="161" t="n"/>
      <c r="P15" s="171" t="inlineStr">
        <is>
          <t>TOTAL BALANCE / 1000</t>
        </is>
      </c>
      <c r="Q15" s="209" t="n">
        <v>16750.357282</v>
      </c>
      <c r="R15" s="191" t="n"/>
    </row>
    <row r="16" ht="14.25" customHeight="1" thickBot="1">
      <c r="B16" s="11" t="inlineStr">
        <is>
          <t>+ Facturación del mes</t>
        </is>
      </c>
      <c r="D16" s="210" t="n"/>
      <c r="E16" s="211" t="n"/>
      <c r="F16" s="212" t="n">
        <v>5518492.85</v>
      </c>
      <c r="G16" s="41" t="n"/>
      <c r="H16" s="213">
        <f>F16</f>
        <v/>
      </c>
      <c r="I16" s="10" t="n"/>
      <c r="J16" s="24">
        <f>+D16/$J$10</f>
        <v/>
      </c>
      <c r="K16" s="37" t="n"/>
      <c r="L16" s="24">
        <f>+F16/$J$10</f>
        <v/>
      </c>
      <c r="M16" s="37" t="n"/>
      <c r="N16" s="24">
        <f>+J16+L16</f>
        <v/>
      </c>
      <c r="O16" s="161" t="n"/>
      <c r="P16" s="171" t="inlineStr">
        <is>
          <t>COBROS SITUACION (SALDO MES) / -1000</t>
        </is>
      </c>
      <c r="Q16" s="173" t="n">
        <v>5015.994489</v>
      </c>
      <c r="R16" s="214">
        <f>Q16/1000</f>
        <v/>
      </c>
      <c r="S16" s="1" t="inlineStr">
        <is>
          <t>negativa</t>
        </is>
      </c>
    </row>
    <row r="17" ht="14.25" customHeight="1" thickBot="1">
      <c r="B17" s="11" t="inlineStr">
        <is>
          <t>+/- Vencidos en el mes</t>
        </is>
      </c>
      <c r="D17" s="215" t="n">
        <v>287482.69</v>
      </c>
      <c r="E17" s="216" t="n"/>
      <c r="F17" s="206">
        <f>-D17</f>
        <v/>
      </c>
      <c r="G17" s="10" t="n"/>
      <c r="H17" s="12">
        <f>+D17+F17</f>
        <v/>
      </c>
      <c r="I17" s="10" t="n"/>
      <c r="J17" s="24">
        <f>+D17/$J$7</f>
        <v/>
      </c>
      <c r="K17" s="37" t="n"/>
      <c r="L17" s="24">
        <f>+F17/$J$7</f>
        <v/>
      </c>
      <c r="M17" s="37" t="n"/>
      <c r="N17" s="24">
        <f>+J17+L17</f>
        <v/>
      </c>
      <c r="O17" s="161" t="n"/>
      <c r="P17" s="171" t="inlineStr">
        <is>
          <t>Total vencido de 60 dias en adelante /1000</t>
        </is>
      </c>
      <c r="Q17" s="217" t="n">
        <v>896582.264</v>
      </c>
      <c r="R17" s="1" t="inlineStr">
        <is>
          <t>VENCIDO MES 30 dias signo positivo</t>
        </is>
      </c>
      <c r="S17" s="205">
        <f>+D14-Q17</f>
        <v/>
      </c>
      <c r="T17" s="1" t="inlineStr">
        <is>
          <t>negativa</t>
        </is>
      </c>
      <c r="U17" s="191" t="n"/>
    </row>
    <row r="18" ht="14.25" customHeight="1" thickBot="1">
      <c r="B18" s="11" t="inlineStr">
        <is>
          <t>+/- Regularizaciones</t>
        </is>
      </c>
      <c r="D18" s="210" t="n"/>
      <c r="E18" s="211" t="n"/>
      <c r="F18" s="210" t="n"/>
      <c r="G18" s="10" t="n"/>
      <c r="H18" s="12">
        <f>SUM(D18:F18)</f>
        <v/>
      </c>
      <c r="I18" s="10" t="n"/>
      <c r="J18" s="24">
        <f>+D18/$J$10</f>
        <v/>
      </c>
      <c r="K18" s="37" t="n"/>
      <c r="L18" s="24">
        <f>+F18/$J$10</f>
        <v/>
      </c>
      <c r="M18" s="37" t="n"/>
      <c r="N18" s="24">
        <f>+J18+L18</f>
        <v/>
      </c>
      <c r="O18" s="161" t="n"/>
    </row>
    <row r="19" ht="14.25" customHeight="1" thickBot="1">
      <c r="B19" s="14" t="inlineStr">
        <is>
          <t>-/+ Actualización cambiaria</t>
        </is>
      </c>
      <c r="D19" s="13" t="n"/>
      <c r="E19" s="10" t="n"/>
      <c r="F19" s="13" t="n"/>
      <c r="G19" s="10" t="n"/>
      <c r="H19" s="12">
        <f>SUM(D19:F19)</f>
        <v/>
      </c>
      <c r="I19" s="10" t="n"/>
      <c r="J19" s="24">
        <f>+D19/$J$10</f>
        <v/>
      </c>
      <c r="K19" s="38" t="n"/>
      <c r="L19" s="24">
        <f>+F19/$J$10</f>
        <v/>
      </c>
      <c r="M19" s="38" t="n"/>
      <c r="N19" s="24">
        <f>+J19+L19</f>
        <v/>
      </c>
      <c r="O19" s="161" t="n"/>
      <c r="P19" s="171" t="inlineStr">
        <is>
          <t>VENCIDO MES 30 dias signo positivo</t>
        </is>
      </c>
      <c r="Q19" s="218" t="n">
        <v>287482.69</v>
      </c>
      <c r="R19" s="1" t="inlineStr">
        <is>
          <t>VENCIDO MES 30 dias signo positivo</t>
        </is>
      </c>
      <c r="T19" s="219" t="n"/>
      <c r="U19" s="191" t="n"/>
    </row>
    <row r="20" ht="14.25" customHeight="1">
      <c r="B20" s="14" t="inlineStr">
        <is>
          <t>+/- Ef. Conversión (solo cuadro €)</t>
        </is>
      </c>
      <c r="D20" s="16" t="n"/>
      <c r="E20" s="10" t="n"/>
      <c r="F20" s="16" t="n"/>
      <c r="G20" s="10" t="n"/>
      <c r="H20" s="16">
        <f>+D20+F20</f>
        <v/>
      </c>
      <c r="I20" s="10" t="n"/>
      <c r="J20" s="24">
        <f>+J22-SUM(J14:J19)</f>
        <v/>
      </c>
      <c r="K20" s="38" t="n"/>
      <c r="L20" s="24">
        <f>+L22-SUM(L14:L19)</f>
        <v/>
      </c>
      <c r="M20" s="38" t="n"/>
      <c r="N20" s="24">
        <f>+J20+L20</f>
        <v/>
      </c>
      <c r="O20" s="161" t="n"/>
    </row>
    <row r="21" ht="14.25" customHeight="1">
      <c r="B21" s="11" t="inlineStr">
        <is>
          <t xml:space="preserve"> +/- Movimiento Tipo de Cambio</t>
        </is>
      </c>
      <c r="D21" s="12">
        <f>SUM(D19:D20)</f>
        <v/>
      </c>
      <c r="E21" s="10" t="n"/>
      <c r="F21" s="12">
        <f>SUM(F19:F20)</f>
        <v/>
      </c>
      <c r="G21" s="10" t="n"/>
      <c r="H21" s="12">
        <f>SUM(H19:H20)</f>
        <v/>
      </c>
      <c r="I21" s="10" t="n"/>
      <c r="J21" s="24">
        <f>SUM(J19:J20)</f>
        <v/>
      </c>
      <c r="K21" s="37" t="n"/>
      <c r="L21" s="24">
        <f>SUM(L19:L20)</f>
        <v/>
      </c>
      <c r="M21" s="37" t="n"/>
      <c r="N21" s="24">
        <f>SUM(N19:N20)</f>
        <v/>
      </c>
      <c r="O21" s="161" t="n"/>
      <c r="S21" s="1" t="inlineStr">
        <is>
          <t>BORRAR EL RESULTADO ANTES DE PEGAR</t>
        </is>
      </c>
    </row>
    <row r="22" ht="14.25" customHeight="1">
      <c r="B22" s="17" t="inlineStr">
        <is>
          <t>Deuda bruta NO Grupo (Final)</t>
        </is>
      </c>
      <c r="D22" s="220" t="n">
        <v>0</v>
      </c>
      <c r="E22" s="199" t="n"/>
      <c r="F22" s="220" t="n">
        <v>0</v>
      </c>
      <c r="G22" s="221" t="n"/>
      <c r="H22" s="220" t="n">
        <v>16750.357282</v>
      </c>
      <c r="I22" s="10" t="n"/>
      <c r="J22" s="39">
        <f>+D22/$J$7</f>
        <v/>
      </c>
      <c r="K22" s="37" t="n"/>
      <c r="L22" s="39">
        <f>+F22/$J$7</f>
        <v/>
      </c>
      <c r="M22" s="37" t="n"/>
      <c r="N22" s="222">
        <f>SUM(N14:N18,N21)</f>
        <v/>
      </c>
      <c r="O22" s="223" t="n"/>
      <c r="P22" s="11" t="inlineStr">
        <is>
          <t>+ Facturación del mes - Columna no vencida</t>
        </is>
      </c>
      <c r="Q22" s="186" t="n">
        <v>16584089.482</v>
      </c>
      <c r="R22" s="1" t="inlineStr">
        <is>
          <t>Valor Balance</t>
        </is>
      </c>
      <c r="S22" s="212">
        <f>+Q22-H22</f>
        <v/>
      </c>
      <c r="T22" s="1" t="inlineStr">
        <is>
          <t>positivo</t>
        </is>
      </c>
    </row>
    <row r="23" ht="14.25" customHeight="1">
      <c r="B23" s="11" t="inlineStr">
        <is>
          <t>- Dotaciones Acumuladas (Inicial)</t>
        </is>
      </c>
      <c r="D23" s="224">
        <f>SUM(D23:D25,D28)</f>
        <v/>
      </c>
      <c r="E23" s="61" t="n"/>
      <c r="F23" s="225">
        <f>SUM(F23:F25,F28)</f>
        <v/>
      </c>
      <c r="G23" s="61" t="n"/>
      <c r="H23" s="224">
        <f>SUM(H23:H25,H28)</f>
        <v/>
      </c>
      <c r="I23" s="10" t="n"/>
      <c r="J23" s="24">
        <f>+D23/$J$8</f>
        <v/>
      </c>
      <c r="K23" s="37" t="n"/>
      <c r="L23" s="24">
        <f>+F23/$J$8</f>
        <v/>
      </c>
      <c r="M23" s="37" t="n"/>
      <c r="N23" s="47">
        <f>+J23+L23</f>
        <v/>
      </c>
      <c r="O23" s="163" t="n"/>
      <c r="P23" s="191" t="n"/>
    </row>
    <row r="24" ht="14.25" customHeight="1">
      <c r="B24" s="11" t="inlineStr">
        <is>
          <t>- Dotaciones del mes</t>
        </is>
      </c>
      <c r="D24" s="226" t="n">
        <v>18038.45099999988</v>
      </c>
      <c r="E24" s="10" t="n"/>
      <c r="F24" s="13" t="n"/>
      <c r="G24" s="10" t="n"/>
      <c r="H24" s="227">
        <f>D24</f>
        <v/>
      </c>
      <c r="I24" s="10" t="n"/>
      <c r="J24" s="24">
        <f>+D24/$J$10</f>
        <v/>
      </c>
      <c r="K24" s="37" t="n"/>
      <c r="L24" s="24">
        <f>+F24/$J$10</f>
        <v/>
      </c>
      <c r="M24" s="37" t="n"/>
      <c r="N24" s="24">
        <f>+J24+L24</f>
        <v/>
      </c>
      <c r="O24" s="161" t="n"/>
      <c r="P24" s="191" t="n"/>
      <c r="Q24" s="191" t="n"/>
    </row>
    <row r="25" ht="14.25" customHeight="1">
      <c r="B25" s="11" t="inlineStr">
        <is>
          <t>+ Desdotaciones</t>
        </is>
      </c>
      <c r="D25" s="227" t="n"/>
      <c r="E25" s="10" t="n"/>
      <c r="F25" s="13" t="n"/>
      <c r="G25" s="10" t="n"/>
      <c r="H25" s="227">
        <f>+D25+F25</f>
        <v/>
      </c>
      <c r="I25" s="10" t="n"/>
      <c r="J25" s="24">
        <f>+D25/$J$10</f>
        <v/>
      </c>
      <c r="K25" s="37" t="n"/>
      <c r="L25" s="24">
        <f>+F25/$J$10</f>
        <v/>
      </c>
      <c r="M25" s="37" t="n"/>
      <c r="N25" s="24">
        <f>+J25+L25</f>
        <v/>
      </c>
      <c r="O25" s="161" t="n"/>
    </row>
    <row r="26" ht="14.25" customHeight="1">
      <c r="B26" s="14" t="inlineStr">
        <is>
          <t>-/+ Actualización cambiaria</t>
        </is>
      </c>
      <c r="D26" s="13" t="n"/>
      <c r="E26" s="10" t="n"/>
      <c r="F26" s="13" t="n"/>
      <c r="G26" s="10" t="n"/>
      <c r="H26" s="12">
        <f>+D26+F26</f>
        <v/>
      </c>
      <c r="I26" s="15" t="n"/>
      <c r="J26" s="24">
        <f>+D26/$J$10</f>
        <v/>
      </c>
      <c r="K26" s="38" t="n"/>
      <c r="L26" s="24">
        <f>+F26/$J$10</f>
        <v/>
      </c>
      <c r="M26" s="38" t="n"/>
      <c r="N26" s="24">
        <f>+J26+L26</f>
        <v/>
      </c>
      <c r="O26" s="161" t="n"/>
      <c r="P26" s="191" t="n"/>
    </row>
    <row r="27" ht="14.25" customHeight="1">
      <c r="B27" s="14" t="inlineStr">
        <is>
          <t>+/- Ef. Conversión (solo cuadro €)</t>
        </is>
      </c>
      <c r="D27" s="16" t="n"/>
      <c r="E27" s="10" t="n"/>
      <c r="F27" s="16" t="n"/>
      <c r="G27" s="10" t="n"/>
      <c r="H27" s="25">
        <f>+D27+F27</f>
        <v/>
      </c>
      <c r="I27" s="15" t="n"/>
      <c r="J27" s="24">
        <f>+J29-SUM(J23:J26)</f>
        <v/>
      </c>
      <c r="K27" s="38" t="n"/>
      <c r="L27" s="24">
        <f>+L29-SUM(L23:L26)</f>
        <v/>
      </c>
      <c r="M27" s="38" t="n"/>
      <c r="N27" s="24">
        <f>+J27+L27</f>
        <v/>
      </c>
      <c r="O27" s="161" t="n"/>
      <c r="P27" s="191">
        <f>P26*1000</f>
        <v/>
      </c>
      <c r="Q27" s="228" t="n">
        <v>-657595.402</v>
      </c>
      <c r="R27" s="1" t="inlineStr">
        <is>
          <t>prov</t>
        </is>
      </c>
      <c r="S27" s="229">
        <f>+H29-Q27</f>
        <v/>
      </c>
      <c r="T27" s="191" t="n"/>
    </row>
    <row r="28" ht="14.25" customHeight="1">
      <c r="B28" s="11" t="inlineStr">
        <is>
          <t xml:space="preserve"> +/- Movimiento Tipo de Cambio</t>
        </is>
      </c>
      <c r="D28" s="12">
        <f>SUM(D26:D27)</f>
        <v/>
      </c>
      <c r="E28" s="10" t="n"/>
      <c r="F28" s="12">
        <f>SUM(F26:F27)</f>
        <v/>
      </c>
      <c r="G28" s="10" t="n"/>
      <c r="H28" s="12">
        <f>SUM(H26:H27)</f>
        <v/>
      </c>
      <c r="I28" s="10" t="n"/>
      <c r="J28" s="24">
        <f>SUM(J26:J27)</f>
        <v/>
      </c>
      <c r="K28" s="37" t="n"/>
      <c r="L28" s="24">
        <f>SUM(L26:L27)</f>
        <v/>
      </c>
      <c r="M28" s="37" t="n"/>
      <c r="N28" s="24">
        <f>SUM(N26:N27)</f>
        <v/>
      </c>
      <c r="O28" s="161" t="n"/>
      <c r="P28" s="1" t="inlineStr">
        <is>
          <t>PROVISION FOCUS DE EUROS PEGAR ULTIMO</t>
        </is>
      </c>
      <c r="Q28" s="230">
        <f>+Q27-D23</f>
        <v/>
      </c>
      <c r="R28" s="231" t="n"/>
      <c r="S28" s="75" t="n"/>
    </row>
    <row r="29" ht="14.25" customHeight="1">
      <c r="B29" s="26" t="inlineStr">
        <is>
          <t>+/- Provisión acumulada (Final)</t>
        </is>
      </c>
      <c r="D29" s="220">
        <f>SUM(D23:D25,D28)</f>
        <v/>
      </c>
      <c r="E29" s="10" t="n"/>
      <c r="F29" s="232">
        <f>SUM(F23:F25,F28)</f>
        <v/>
      </c>
      <c r="G29" s="10" t="n"/>
      <c r="H29" s="220">
        <f>SUM(H23:H25,H28)</f>
        <v/>
      </c>
      <c r="I29" s="10" t="n"/>
      <c r="J29" s="40">
        <f>+D29/$J$7</f>
        <v/>
      </c>
      <c r="K29" s="37" t="n"/>
      <c r="L29" s="39">
        <f>+F29/$J$7</f>
        <v/>
      </c>
      <c r="M29" s="37" t="n"/>
      <c r="N29" s="40">
        <f>SUM(N23:N25,N28)</f>
        <v/>
      </c>
      <c r="O29" s="164" t="n"/>
      <c r="P29" s="233" t="n">
        <v>-137.63473</v>
      </c>
      <c r="Q29" s="187" t="n">
        <v>39598</v>
      </c>
      <c r="R29" s="191" t="n"/>
    </row>
    <row r="30" ht="17.25" customHeight="1">
      <c r="B30" s="27" t="inlineStr">
        <is>
          <t>Saldo neto</t>
        </is>
      </c>
      <c r="D30" s="28">
        <f>+D22+D29</f>
        <v/>
      </c>
      <c r="E30" s="10" t="n"/>
      <c r="F30" s="234">
        <f>+F22+F29</f>
        <v/>
      </c>
      <c r="G30" s="10" t="n"/>
      <c r="H30" s="234">
        <f>+H22+H29</f>
        <v/>
      </c>
      <c r="I30" s="10" t="n"/>
      <c r="J30" s="30">
        <f>+J22+J29</f>
        <v/>
      </c>
      <c r="K30" s="10" t="n"/>
      <c r="L30" s="30">
        <f>+L22+L29</f>
        <v/>
      </c>
      <c r="M30" s="10" t="n"/>
      <c r="N30" s="235">
        <f>+N22+N29</f>
        <v/>
      </c>
      <c r="O30" s="236" t="n"/>
      <c r="P30" s="45">
        <f>+P29-N29</f>
        <v/>
      </c>
      <c r="Q30" s="187">
        <f>Q28-Q29</f>
        <v/>
      </c>
      <c r="R30" s="187" t="n"/>
      <c r="S30" s="45" t="n"/>
    </row>
    <row r="31" ht="13.5" customHeight="1">
      <c r="B31" s="31" t="n"/>
      <c r="D31" s="32" t="n"/>
      <c r="F31" s="32" t="n"/>
      <c r="Q31" s="187" t="n"/>
    </row>
    <row r="32" ht="13.5" customHeight="1">
      <c r="Q32" s="187">
        <f>+D29-Q27</f>
        <v/>
      </c>
      <c r="S32" s="191" t="n"/>
    </row>
    <row r="33" ht="12.75" customFormat="1" customHeight="1" s="6">
      <c r="B33" s="153" t="inlineStr">
        <is>
          <t>ACUMULADO</t>
        </is>
      </c>
      <c r="D33" s="192" t="inlineStr">
        <is>
          <t>Datos en Moneda Local</t>
        </is>
      </c>
      <c r="E33" s="181" t="n"/>
      <c r="F33" s="181" t="n"/>
      <c r="G33" s="181" t="n"/>
      <c r="H33" s="182" t="n"/>
      <c r="I33" s="7" t="n"/>
      <c r="J33" s="192" t="inlineStr">
        <is>
          <t>Datos en  €</t>
        </is>
      </c>
      <c r="K33" s="181" t="n"/>
      <c r="L33" s="181" t="n"/>
      <c r="M33" s="181" t="n"/>
      <c r="N33" s="182" t="n"/>
      <c r="O33" s="158" t="n"/>
      <c r="Q33" s="194" t="n"/>
    </row>
    <row r="34" ht="12.75" customFormat="1" customHeight="1" s="6">
      <c r="B34" s="196" t="n"/>
      <c r="D34" s="8" t="inlineStr">
        <is>
          <t>Vencida</t>
        </is>
      </c>
      <c r="F34" s="8" t="inlineStr">
        <is>
          <t>No Vencida</t>
        </is>
      </c>
      <c r="H34" s="8" t="inlineStr">
        <is>
          <t>Total Deuda</t>
        </is>
      </c>
      <c r="J34" s="8" t="inlineStr">
        <is>
          <t>Vencida</t>
        </is>
      </c>
      <c r="L34" s="8" t="inlineStr">
        <is>
          <t>No Vencida</t>
        </is>
      </c>
      <c r="N34" s="8" t="inlineStr">
        <is>
          <t>Total Deuda</t>
        </is>
      </c>
      <c r="O34" s="159" t="n"/>
      <c r="Q34" s="195" t="n"/>
    </row>
    <row r="35" ht="14.25" customHeight="1">
      <c r="B35" s="65" t="inlineStr">
        <is>
          <t>Deuda bruta NO Grupo (inicial)</t>
        </is>
      </c>
      <c r="D35" s="237" t="n">
        <v>1650164.483890001</v>
      </c>
      <c r="E35" s="237" t="n"/>
      <c r="F35" s="237" t="n">
        <v>15186363.85095941</v>
      </c>
      <c r="G35" s="199" t="n"/>
      <c r="H35" s="237" t="n">
        <v>16836527.62</v>
      </c>
      <c r="I35" s="10" t="n"/>
      <c r="J35" s="66">
        <f>+D35/$J$9</f>
        <v/>
      </c>
      <c r="K35" s="10" t="n"/>
      <c r="L35" s="66">
        <f>+F35/$J$9</f>
        <v/>
      </c>
      <c r="M35" s="10" t="n"/>
      <c r="N35" s="238">
        <f>+J35+L35</f>
        <v/>
      </c>
      <c r="O35" s="239" t="n"/>
    </row>
    <row r="36" ht="14.25" customHeight="1">
      <c r="B36" s="11" t="inlineStr">
        <is>
          <t>- Cobros</t>
        </is>
      </c>
      <c r="D36" s="240" t="n">
        <v>-3274263.648671501</v>
      </c>
      <c r="E36" s="241" t="e">
        <v>#REF!</v>
      </c>
      <c r="F36" s="242" t="n">
        <v>-36770042.5393285</v>
      </c>
      <c r="G36" s="241" t="n"/>
      <c r="H36" s="242">
        <f>(D36+F36)+0.709999995306134</f>
        <v/>
      </c>
      <c r="I36" s="10" t="n"/>
      <c r="J36" s="12">
        <f>+D36/$J$7</f>
        <v/>
      </c>
      <c r="K36" s="10" t="n"/>
      <c r="L36" s="12">
        <f>+F36/$J$7</f>
        <v/>
      </c>
      <c r="M36" s="10" t="n"/>
      <c r="N36" s="227">
        <f>+J36+L36</f>
        <v/>
      </c>
      <c r="O36" s="243" t="n"/>
    </row>
    <row r="37" ht="14.25" customHeight="1">
      <c r="B37" s="11" t="inlineStr">
        <is>
          <t>+ Facturación</t>
        </is>
      </c>
      <c r="D37" s="12" t="n">
        <v>0</v>
      </c>
      <c r="E37" s="15" t="n">
        <v>0</v>
      </c>
      <c r="F37" s="68" t="n">
        <v>39791867.34</v>
      </c>
      <c r="G37" s="68" t="n"/>
      <c r="H37" s="68">
        <f>F37</f>
        <v/>
      </c>
      <c r="I37" s="10" t="n"/>
      <c r="J37" s="12">
        <f>+D37/$J$7</f>
        <v/>
      </c>
      <c r="K37" s="10" t="n"/>
      <c r="L37" s="12">
        <f>+F37/$J$7</f>
        <v/>
      </c>
      <c r="M37" s="10" t="n"/>
      <c r="N37" s="227">
        <f>+J37+L37</f>
        <v/>
      </c>
      <c r="O37" s="243" t="n"/>
      <c r="Q37" s="80" t="n"/>
    </row>
    <row r="38" ht="14.25" customHeight="1">
      <c r="B38" s="11" t="inlineStr">
        <is>
          <t>+/- Vencidos</t>
        </is>
      </c>
      <c r="D38" s="244" t="n">
        <v>2808164.1172967</v>
      </c>
      <c r="E38" s="68" t="n">
        <v>-975358.72</v>
      </c>
      <c r="F38" s="244" t="n">
        <v>-2808164.1172967</v>
      </c>
      <c r="G38" s="15" t="n"/>
      <c r="H38" s="12" t="n"/>
      <c r="I38" s="10" t="n"/>
      <c r="J38" s="12">
        <f>+D38/$J$7</f>
        <v/>
      </c>
      <c r="K38" s="10" t="n"/>
      <c r="L38" s="12">
        <f>+F38/$J$7</f>
        <v/>
      </c>
      <c r="M38" s="10" t="n"/>
      <c r="N38" s="227">
        <f>+J38+L38</f>
        <v/>
      </c>
      <c r="O38" s="243" t="n"/>
      <c r="Q38" s="80" t="n"/>
    </row>
    <row r="39" ht="14.25" customHeight="1" thickBot="1">
      <c r="B39" s="11" t="inlineStr">
        <is>
          <t>+/- Regularizaciones</t>
        </is>
      </c>
      <c r="D39" s="13" t="n"/>
      <c r="E39" s="10" t="n"/>
      <c r="F39" s="13" t="n"/>
      <c r="G39" s="10" t="n"/>
      <c r="H39" s="12" t="n">
        <v>0</v>
      </c>
      <c r="I39" s="10" t="n"/>
      <c r="J39" s="12">
        <f>+D39/$J$7</f>
        <v/>
      </c>
      <c r="K39" s="10" t="n"/>
      <c r="L39" s="12">
        <f>+F39/$J$7</f>
        <v/>
      </c>
      <c r="M39" s="10" t="n"/>
      <c r="N39" s="227">
        <f>+J39+L39</f>
        <v/>
      </c>
      <c r="O39" s="243" t="n"/>
      <c r="Q39" s="80" t="n"/>
    </row>
    <row r="40" ht="14.25" customHeight="1" thickBot="1">
      <c r="B40" s="14" t="inlineStr">
        <is>
          <t>-/+ Actualización cambiaria</t>
        </is>
      </c>
      <c r="D40" s="13" t="n"/>
      <c r="E40" s="10" t="n"/>
      <c r="F40" s="13" t="n"/>
      <c r="G40" s="10" t="n"/>
      <c r="H40" s="12" t="n">
        <v>0</v>
      </c>
      <c r="I40" s="10" t="n"/>
      <c r="J40" s="12">
        <f>+D40/$J$7</f>
        <v/>
      </c>
      <c r="K40" s="15" t="n"/>
      <c r="L40" s="12">
        <f>+F40/$J$7</f>
        <v/>
      </c>
      <c r="M40" s="15" t="n"/>
      <c r="N40" s="227">
        <f>+J40+L40</f>
        <v/>
      </c>
      <c r="O40" s="243" t="n"/>
      <c r="Q40" s="88" t="inlineStr">
        <is>
          <t>Conversión a euro</t>
        </is>
      </c>
      <c r="R40" s="89" t="n"/>
      <c r="S40" s="96">
        <f>S42/R42</f>
        <v/>
      </c>
    </row>
    <row r="41" ht="14.25" customHeight="1" thickBot="1">
      <c r="B41" s="14" t="inlineStr">
        <is>
          <t>+/- Ef. Conversión (solo cuadro €)</t>
        </is>
      </c>
      <c r="D41" s="16" t="n"/>
      <c r="E41" s="10" t="n"/>
      <c r="F41" s="16" t="n"/>
      <c r="G41" s="10" t="n"/>
      <c r="H41" s="25">
        <f>+D41+F41</f>
        <v/>
      </c>
      <c r="I41" s="10" t="n"/>
      <c r="J41" s="12">
        <f>+J43-SUM(J35:J40)</f>
        <v/>
      </c>
      <c r="K41" s="15" t="n"/>
      <c r="L41" s="12">
        <f>+L43-SUM(L35:L40)</f>
        <v/>
      </c>
      <c r="M41" s="15" t="n"/>
      <c r="N41" s="227">
        <f>+J41+L41</f>
        <v/>
      </c>
      <c r="O41" s="243" t="n"/>
      <c r="Q41" s="97" t="inlineStr">
        <is>
          <t>FECHA</t>
        </is>
      </c>
      <c r="R41" s="98" t="inlineStr">
        <is>
          <t>DÓLAR TRM</t>
        </is>
      </c>
      <c r="S41" s="99" t="inlineStr">
        <is>
          <t>EURO/PESO COL</t>
        </is>
      </c>
    </row>
    <row r="42" ht="14.25" customHeight="1">
      <c r="B42" s="11" t="inlineStr">
        <is>
          <t xml:space="preserve"> +/- Movimiento Tipo de Cambio</t>
        </is>
      </c>
      <c r="D42" s="12">
        <f>SUM(D40:D41)</f>
        <v/>
      </c>
      <c r="E42" s="10" t="n"/>
      <c r="F42" s="12">
        <f>SUM(F40:F41)</f>
        <v/>
      </c>
      <c r="G42" s="10" t="n"/>
      <c r="H42" s="12">
        <f>SUM(H40:H41)</f>
        <v/>
      </c>
      <c r="I42" s="10" t="n"/>
      <c r="J42" s="12">
        <f>SUM(J40:J41)</f>
        <v/>
      </c>
      <c r="K42" s="10" t="n"/>
      <c r="L42" s="12">
        <f>SUM(L40:L41)</f>
        <v/>
      </c>
      <c r="M42" s="10" t="n"/>
      <c r="N42" s="227">
        <f>SUM(N40:N41)</f>
        <v/>
      </c>
      <c r="O42" s="243" t="n"/>
      <c r="Q42" s="113" t="inlineStr">
        <is>
          <t>4/30/2025</t>
        </is>
      </c>
      <c r="R42" s="101" t="n">
        <v>4198.83</v>
      </c>
      <c r="S42" s="114" t="n">
        <v>4773.02</v>
      </c>
    </row>
    <row r="43" ht="14.25" customHeight="1">
      <c r="B43" s="17" t="inlineStr">
        <is>
          <t>Deuda bruta NO Grupo (Final)</t>
        </is>
      </c>
      <c r="D43" s="222">
        <f>SUM(D35:D39,D42)</f>
        <v/>
      </c>
      <c r="E43" s="199" t="n"/>
      <c r="F43" s="222">
        <f>SUM(F35:F39,F42)</f>
        <v/>
      </c>
      <c r="G43" s="199" t="n"/>
      <c r="H43" s="222">
        <f>SUM(H35:H39,H42)</f>
        <v/>
      </c>
      <c r="I43" s="10" t="n"/>
      <c r="J43" s="20">
        <f>+D43/$J$7</f>
        <v/>
      </c>
      <c r="K43" s="10" t="n"/>
      <c r="L43" s="20">
        <f>+F43/$J$7</f>
        <v/>
      </c>
      <c r="M43" s="10" t="n"/>
      <c r="N43" s="245">
        <f>SUM(N35:N39,N42)</f>
        <v/>
      </c>
      <c r="O43" s="246" t="n"/>
      <c r="Q43" s="80" t="n"/>
    </row>
    <row r="44" ht="14.25" customHeight="1">
      <c r="B44" s="11" t="inlineStr">
        <is>
          <t>- Dotaciones Acumuladas (Inicial)</t>
        </is>
      </c>
      <c r="D44" s="227" t="n">
        <v>-587752.0569999993</v>
      </c>
      <c r="E44" s="10" t="n"/>
      <c r="F44" s="13" t="n">
        <v>0</v>
      </c>
      <c r="G44" s="10" t="n"/>
      <c r="H44" s="227" t="n">
        <v>-587752.0569999994</v>
      </c>
      <c r="I44" s="10" t="n"/>
      <c r="J44" s="12">
        <f>+D44/$J$9</f>
        <v/>
      </c>
      <c r="K44" s="10" t="n"/>
      <c r="L44" s="12">
        <f>+F44/$J$9</f>
        <v/>
      </c>
      <c r="M44" s="10" t="n"/>
      <c r="N44" s="227">
        <f>+J44+L44</f>
        <v/>
      </c>
      <c r="O44" s="243" t="n"/>
    </row>
    <row r="45" ht="14.25" customHeight="1">
      <c r="B45" s="11" t="inlineStr">
        <is>
          <t>- Dotaciones</t>
        </is>
      </c>
      <c r="D45" s="24" t="n">
        <v>-87056.83400000066</v>
      </c>
      <c r="E45" s="10" t="n">
        <v>0</v>
      </c>
      <c r="F45" s="13" t="n">
        <v>0</v>
      </c>
      <c r="G45" s="10" t="n"/>
      <c r="H45" s="247">
        <f>D45</f>
        <v/>
      </c>
      <c r="I45" s="10" t="n"/>
      <c r="J45" s="12">
        <f>+D45/$J$7</f>
        <v/>
      </c>
      <c r="K45" s="10" t="n"/>
      <c r="L45" s="12">
        <f>+F45/$J$7</f>
        <v/>
      </c>
      <c r="M45" s="10" t="n"/>
      <c r="N45" s="227">
        <f>+J45+L45</f>
        <v/>
      </c>
      <c r="O45" s="243" t="n"/>
    </row>
    <row r="46" ht="14.25" customHeight="1">
      <c r="B46" s="11" t="inlineStr">
        <is>
          <t>+ Desdotaciones</t>
        </is>
      </c>
      <c r="D46" s="227" t="n">
        <v>17213.48899999994</v>
      </c>
      <c r="E46" s="10" t="n">
        <v>0</v>
      </c>
      <c r="F46" s="13" t="n">
        <v>0</v>
      </c>
      <c r="G46" s="10" t="n"/>
      <c r="H46" s="227">
        <f>+D46+F46</f>
        <v/>
      </c>
      <c r="I46" s="10" t="n"/>
      <c r="J46" s="12">
        <f>+D46/$J$7</f>
        <v/>
      </c>
      <c r="K46" s="10" t="n"/>
      <c r="L46" s="12">
        <f>+F46/$J$7</f>
        <v/>
      </c>
      <c r="M46" s="10" t="n"/>
      <c r="N46" s="227">
        <f>+J46+L46</f>
        <v/>
      </c>
      <c r="O46" s="243" t="n"/>
    </row>
    <row r="47" ht="14.25" customHeight="1">
      <c r="B47" s="14" t="inlineStr">
        <is>
          <t>-/+ Actualización cambiaria</t>
        </is>
      </c>
      <c r="D47" s="13" t="n"/>
      <c r="E47" s="10" t="n"/>
      <c r="F47" s="13" t="n"/>
      <c r="G47" s="10" t="n"/>
      <c r="H47" s="12">
        <f>+D47+F47</f>
        <v/>
      </c>
      <c r="I47" s="10" t="n"/>
      <c r="J47" s="12">
        <f>+D47/$J$7</f>
        <v/>
      </c>
      <c r="K47" s="15" t="n"/>
      <c r="L47" s="12">
        <f>+F47/$J$7</f>
        <v/>
      </c>
      <c r="M47" s="15" t="n"/>
      <c r="N47" s="227">
        <f>+J47+L47</f>
        <v/>
      </c>
      <c r="O47" s="243" t="n"/>
    </row>
    <row r="48" ht="14.25" customHeight="1">
      <c r="B48" s="14" t="inlineStr">
        <is>
          <t>+/- Ef. Conversión (solo cuadro €)</t>
        </is>
      </c>
      <c r="D48" s="16" t="n"/>
      <c r="E48" s="10" t="n"/>
      <c r="F48" s="16" t="n"/>
      <c r="G48" s="10" t="n"/>
      <c r="H48" s="25">
        <f>+D48+F48</f>
        <v/>
      </c>
      <c r="I48" s="10" t="n"/>
      <c r="J48" s="12">
        <f>+J50-SUM(J44:J47)</f>
        <v/>
      </c>
      <c r="K48" s="15" t="n"/>
      <c r="L48" s="12">
        <f>+L50-SUM(L44:L47)</f>
        <v/>
      </c>
      <c r="M48" s="15" t="n"/>
      <c r="N48" s="227">
        <f>+J48+L48</f>
        <v/>
      </c>
      <c r="O48" s="243" t="n"/>
    </row>
    <row r="49" ht="14.25" customHeight="1">
      <c r="B49" s="11" t="inlineStr">
        <is>
          <t xml:space="preserve"> +/- Movimiento Tipo de Cambio</t>
        </is>
      </c>
      <c r="D49" s="12">
        <f>SUM(D47:D48)</f>
        <v/>
      </c>
      <c r="E49" s="10" t="n"/>
      <c r="F49" s="12">
        <f>SUM(F47:F48)</f>
        <v/>
      </c>
      <c r="G49" s="10" t="n"/>
      <c r="H49" s="12">
        <f>SUM(H47:H48)</f>
        <v/>
      </c>
      <c r="I49" s="10" t="n"/>
      <c r="J49" s="12">
        <f>SUM(J47:J48)</f>
        <v/>
      </c>
      <c r="K49" s="10" t="n"/>
      <c r="L49" s="12">
        <f>SUM(L47:L48)</f>
        <v/>
      </c>
      <c r="M49" s="10" t="n"/>
      <c r="N49" s="227">
        <f>SUM(N47:N48)</f>
        <v/>
      </c>
      <c r="O49" s="243" t="n"/>
    </row>
    <row r="50" ht="14.25" customHeight="1">
      <c r="B50" s="26" t="inlineStr">
        <is>
          <t>+/- Provisión acumulada (Final)</t>
        </is>
      </c>
      <c r="D50" s="222">
        <f>SUM(D44:D46,D49)</f>
        <v/>
      </c>
      <c r="E50" s="10" t="n"/>
      <c r="F50" s="20">
        <f>SUM(F44:F46,F49)</f>
        <v/>
      </c>
      <c r="G50" s="10" t="n"/>
      <c r="H50" s="245">
        <f>SUM(H44:H46,H49)</f>
        <v/>
      </c>
      <c r="I50" s="10" t="n"/>
      <c r="J50" s="39">
        <f>+D50/$J$7</f>
        <v/>
      </c>
      <c r="K50" s="10" t="n"/>
      <c r="L50" s="20">
        <f>+F50/$J$7</f>
        <v/>
      </c>
      <c r="M50" s="10" t="n"/>
      <c r="N50" s="248">
        <f>SUM(N44:N46,N49)</f>
        <v/>
      </c>
      <c r="O50" s="249" t="n"/>
    </row>
    <row r="51" ht="14.25" customHeight="1">
      <c r="B51" s="27" t="inlineStr">
        <is>
          <t>Saldo neto</t>
        </is>
      </c>
      <c r="D51" s="250">
        <f>+D43+D50</f>
        <v/>
      </c>
      <c r="E51" s="10" t="n"/>
      <c r="F51" s="251">
        <f>+F43+F50</f>
        <v/>
      </c>
      <c r="G51" s="10" t="n"/>
      <c r="H51" s="70">
        <f>+H43+H50</f>
        <v/>
      </c>
      <c r="I51" s="10" t="n"/>
      <c r="J51" s="70">
        <f>+J43+J50</f>
        <v/>
      </c>
      <c r="K51" s="10" t="n"/>
      <c r="L51" s="70">
        <f>+L43+L50</f>
        <v/>
      </c>
      <c r="M51" s="10" t="n"/>
      <c r="N51" s="72">
        <f>+N43+N50</f>
        <v/>
      </c>
      <c r="O51" s="170" t="n"/>
    </row>
    <row r="52">
      <c r="D52" s="32">
        <f>D30-D51</f>
        <v/>
      </c>
      <c r="E52" s="32">
        <f>E30-E51</f>
        <v/>
      </c>
      <c r="F52" s="32">
        <f>F30-F51</f>
        <v/>
      </c>
      <c r="G52" s="32">
        <f>G30-G51</f>
        <v/>
      </c>
      <c r="H52" s="187">
        <f>H30-H51</f>
        <v/>
      </c>
    </row>
    <row r="63373">
      <c r="B63373" s="1" t="inlineStr">
        <is>
          <t>Enero</t>
        </is>
      </c>
    </row>
    <row r="63374">
      <c r="B63374" s="1" t="inlineStr">
        <is>
          <t>Febrero</t>
        </is>
      </c>
    </row>
    <row r="63375">
      <c r="B63375" s="1" t="inlineStr">
        <is>
          <t>Marzo</t>
        </is>
      </c>
    </row>
    <row r="63376">
      <c r="B63376" s="1" t="inlineStr">
        <is>
          <t>Abril</t>
        </is>
      </c>
    </row>
    <row r="63377">
      <c r="B63377" s="1" t="inlineStr">
        <is>
          <t xml:space="preserve">Mayo </t>
        </is>
      </c>
    </row>
    <row r="63378">
      <c r="B63378" s="1" t="inlineStr">
        <is>
          <t>Junio</t>
        </is>
      </c>
    </row>
    <row r="63379">
      <c r="B63379" s="1" t="inlineStr">
        <is>
          <t>Julio</t>
        </is>
      </c>
    </row>
    <row r="63380">
      <c r="B63380" s="1" t="inlineStr">
        <is>
          <t>Agosto</t>
        </is>
      </c>
    </row>
    <row r="63381">
      <c r="B63381" s="1" t="inlineStr">
        <is>
          <t>Septiembre</t>
        </is>
      </c>
    </row>
    <row r="63382">
      <c r="B63382" s="1" t="inlineStr">
        <is>
          <t>Octubre</t>
        </is>
      </c>
    </row>
    <row r="63383">
      <c r="B63383" s="1" t="inlineStr">
        <is>
          <t>Noviembre</t>
        </is>
      </c>
    </row>
    <row r="63384">
      <c r="B63384" s="1" t="inlineStr">
        <is>
          <t>Diciembre</t>
        </is>
      </c>
    </row>
  </sheetData>
  <mergeCells count="19">
    <mergeCell ref="D7:E10"/>
    <mergeCell ref="F10:G10"/>
    <mergeCell ref="B12:B13"/>
    <mergeCell ref="H10:I10"/>
    <mergeCell ref="J10:K10"/>
    <mergeCell ref="H9:I9"/>
    <mergeCell ref="J9:K9"/>
    <mergeCell ref="F7:G9"/>
    <mergeCell ref="B4:H4"/>
    <mergeCell ref="H7:I7"/>
    <mergeCell ref="J7:K7"/>
    <mergeCell ref="B33:B34"/>
    <mergeCell ref="B2:N2"/>
    <mergeCell ref="D12:H12"/>
    <mergeCell ref="J12:N12"/>
    <mergeCell ref="D33:H33"/>
    <mergeCell ref="J33:N33"/>
    <mergeCell ref="H8:I8"/>
    <mergeCell ref="J8:K8"/>
  </mergeCells>
  <dataValidations disablePrompts="1" count="4">
    <dataValidation sqref="DX64225 DX129761 DX195297 DX260833 DX326369 DX391905 DX457441 DX522977 DX588513 DX654049 DX719585 DX785121 DX850657 DX916193 DX981729 NT64225 NT129761 NT195297 NT260833 NT326369 NT391905 NT457441 NT522977 NT588513 NT654049 NT719585 NT785121 NT850657 NT916193 NT981729 XP64225 XP129761 XP195297 XP260833 XP326369 XP391905 XP457441 XP522977 XP588513 XP654049 XP719585 XP785121 XP850657 XP916193 XP981729 AHL64225 AHL129761 AHL195297 AHL260833 AHL326369 AHL391905 AHL457441 AHL522977 AHL588513 AHL654049 AHL719585 AHL785121 AHL850657 AHL916193 AHL981729 ARH64225 ARH129761 ARH195297 ARH260833 ARH326369 ARH391905 ARH457441 ARH522977 ARH588513 ARH654049 ARH719585 ARH785121 ARH850657 ARH916193 ARH981729 BBD64225 BBD129761 BBD195297 BBD260833 BBD326369 BBD391905 BBD457441 BBD522977 BBD588513 BBD654049 BBD719585 BBD785121 BBD850657 BBD916193 BBD981729 BKZ64225 BKZ129761 BKZ195297 BKZ260833 BKZ326369 BKZ391905 BKZ457441 BKZ522977 BKZ588513 BKZ654049 BKZ719585 BKZ785121 BKZ850657 BKZ916193 BKZ981729 BUV64225 BUV129761 BUV195297 BUV260833 BUV326369 BUV391905 BUV457441 BUV522977 BUV588513 BUV654049 BUV719585 BUV785121 BUV850657 BUV916193 BUV981729 CER64225 CER129761 CER195297 CER260833 CER326369 CER391905 CER457441 CER522977 CER588513 CER654049 CER719585 CER785121 CER850657 CER916193 CER981729 CON64225 CON129761 CON195297 CON260833 CON326369 CON391905 CON457441 CON522977 CON588513 CON654049 CON719585 CON785121 CON850657 CON916193 CON981729 CYJ64225 CYJ129761 CYJ195297 CYJ260833 CYJ326369 CYJ391905 CYJ457441 CYJ522977 CYJ588513 CYJ654049 CYJ719585 CYJ785121 CYJ850657 CYJ916193 CYJ981729 DIF64225 DIF129761 DIF195297 DIF260833 DIF326369 DIF391905 DIF457441 DIF522977 DIF588513 DIF654049 DIF719585 DIF785121 DIF850657 DIF916193 DIF981729 DSB64225 DSB129761 DSB195297 DSB260833 DSB326369 DSB391905 DSB457441 DSB522977 DSB588513 DSB654049 DSB719585 DSB785121 DSB850657 DSB916193 DSB981729 EBX64225 EBX129761 EBX195297 EBX260833 EBX326369 EBX391905 EBX457441 EBX522977 EBX588513 EBX654049 EBX719585 EBX785121 EBX850657 EBX916193 EBX981729 ELT64225 ELT129761 ELT195297 ELT260833 ELT326369 ELT391905 ELT457441 ELT522977 ELT588513 ELT654049 ELT719585 ELT785121 ELT850657 ELT916193 ELT981729 EVP64225 EVP129761 EVP195297 EVP260833 EVP326369 EVP391905 EVP457441 EVP522977 EVP588513 EVP654049 EVP719585 EVP785121 EVP850657 EVP916193 EVP981729 FFL64225 FFL129761 FFL195297 FFL260833 FFL326369 FFL391905 FFL457441 FFL522977 FFL588513 FFL654049 FFL719585 FFL785121 FFL850657 FFL916193 FFL981729 FPH64225 FPH129761 FPH195297 FPH260833 FPH326369 FPH391905 FPH457441 FPH522977 FPH588513 FPH654049 FPH719585 FPH785121 FPH850657 FPH916193 FPH981729 FZD64225 FZD129761 FZD195297 FZD260833 FZD326369 FZD391905 FZD457441 FZD522977 FZD588513 FZD654049 FZD719585 FZD785121 FZD850657 FZD916193 FZD981729 GIZ64225 GIZ129761 GIZ195297 GIZ260833 GIZ326369 GIZ391905 GIZ457441 GIZ522977 GIZ588513 GIZ654049 GIZ719585 GIZ785121 GIZ850657 GIZ916193 GIZ981729 GSV64225 GSV129761 GSV195297 GSV260833 GSV326369 GSV391905 GSV457441 GSV522977 GSV588513 GSV654049 GSV719585 GSV785121 GSV850657 GSV916193 GSV981729 HCR64225 HCR129761 HCR195297 HCR260833 HCR326369 HCR391905 HCR457441 HCR522977 HCR588513 HCR654049 HCR719585 HCR785121 HCR850657 HCR916193 HCR981729 HMN64225 HMN129761 HMN195297 HMN260833 HMN326369 HMN391905 HMN457441 HMN522977 HMN588513 HMN654049 HMN719585 HMN785121 HMN850657 HMN916193 HMN981729 HWJ64225 HWJ129761 HWJ195297 HWJ260833 HWJ326369 HWJ391905 HWJ457441 HWJ522977 HWJ588513 HWJ654049 HWJ719585 HWJ785121 HWJ850657 HWJ916193 HWJ981729 IGF64225 IGF129761 IGF195297 IGF260833 IGF326369 IGF391905 IGF457441 IGF522977 IGF588513 IGF654049 IGF719585 IGF785121 IGF850657 IGF916193 IGF981729 IQB64225 IQB129761 IQB195297 IQB260833 IQB326369 IQB391905 IQB457441 IQB522977 IQB588513 IQB654049 IQB719585 IQB785121 IQB850657 IQB916193 IQB981729 IZX64225 IZX129761 IZX195297 IZX260833 IZX326369 IZX391905 IZX457441 IZX522977 IZX588513 IZX654049 IZX719585 IZX785121 IZX850657 IZX916193 IZX981729 JJT64225 JJT129761 JJT195297 JJT260833 JJT326369 JJT391905 JJT457441 JJT522977 JJT588513 JJT654049 JJT719585 JJT785121 JJT850657 JJT916193 JJT981729 JTP64225 JTP129761 JTP195297 JTP260833 JTP326369 JTP391905 JTP457441 JTP522977 JTP588513 JTP654049 JTP719585 JTP785121 JTP850657 JTP916193 JTP981729 KDL64225 KDL129761 KDL195297 KDL260833 KDL326369 KDL391905 KDL457441 KDL522977 KDL588513 KDL654049 KDL719585 KDL785121 KDL850657 KDL916193 KDL981729 KNH64225 KNH129761 KNH195297 KNH260833 KNH326369 KNH391905 KNH457441 KNH522977 KNH588513 KNH654049 KNH719585 KNH785121 KNH850657 KNH916193 KNH981729 KXD64225 KXD129761 KXD195297 KXD260833 KXD326369 KXD391905 KXD457441 KXD522977 KXD588513 KXD654049 KXD719585 KXD785121 KXD850657 KXD916193 KXD981729 LGZ64225 LGZ129761 LGZ195297 LGZ260833 LGZ326369 LGZ391905 LGZ457441 LGZ522977 LGZ588513 LGZ654049 LGZ719585 LGZ785121 LGZ850657 LGZ916193 LGZ981729 LQV64225 LQV129761 LQV195297 LQV260833 LQV326369 LQV391905 LQV457441 LQV522977 LQV588513 LQV654049 LQV719585 LQV785121 LQV850657 LQV916193 LQV981729 MAR64225 MAR129761 MAR195297 MAR260833 MAR326369 MAR391905 MAR457441 MAR522977 MAR588513 MAR654049 MAR719585 MAR785121 MAR850657 MAR916193 MAR981729 MKN64225 MKN129761 MKN195297 MKN260833 MKN326369 MKN391905 MKN457441 MKN522977 MKN588513 MKN654049 MKN719585 MKN785121 MKN850657 MKN916193 MKN981729 MUJ64225 MUJ129761 MUJ195297 MUJ260833 MUJ326369 MUJ391905 MUJ457441 MUJ522977 MUJ588513 MUJ654049 MUJ719585 MUJ785121 MUJ850657 MUJ916193 MUJ981729 NEF64225 NEF129761 NEF195297 NEF260833 NEF326369 NEF391905 NEF457441 NEF522977 NEF588513 NEF654049 NEF719585 NEF785121 NEF850657 NEF916193 NEF981729 NOB64225 NOB129761 NOB195297 NOB260833 NOB326369 NOB391905 NOB457441 NOB522977 NOB588513 NOB654049 NOB719585 NOB785121 NOB850657 NOB916193 NOB981729 NXX64225 NXX129761 NXX195297 NXX260833 NXX326369 NXX391905 NXX457441 NXX522977 NXX588513 NXX654049 NXX719585 NXX785121 NXX850657 NXX916193 NXX981729 OHT64225 OHT129761 OHT195297 OHT260833 OHT326369 OHT391905 OHT457441 OHT522977 OHT588513 OHT654049 OHT719585 OHT785121 OHT850657 OHT916193 OHT981729 ORP64225 ORP129761 ORP195297 ORP260833 ORP326369 ORP391905 ORP457441 ORP522977 ORP588513 ORP654049 ORP719585 ORP785121 ORP850657 ORP916193 ORP981729 PBL64225 PBL129761 PBL195297 PBL260833 PBL326369 PBL391905 PBL457441 PBL522977 PBL588513 PBL654049 PBL719585 PBL785121 PBL850657 PBL916193 PBL981729 PLH64225 PLH129761 PLH195297 PLH260833 PLH326369 PLH391905 PLH457441 PLH522977 PLH588513 PLH654049 PLH719585 PLH785121 PLH850657 PLH916193 PLH981729 PVD64225 PVD129761 PVD195297 PVD260833 PVD326369 PVD391905 PVD457441 PVD522977 PVD588513 PVD654049 PVD719585 PVD785121 PVD850657 PVD916193 PVD981729 QEZ64225 QEZ129761 QEZ195297 QEZ260833 QEZ326369 QEZ391905 QEZ457441 QEZ522977 QEZ588513 QEZ654049 QEZ719585 QEZ785121 QEZ850657 QEZ916193 QEZ981729 QOV64225 QOV129761 QOV195297 QOV260833 QOV326369 QOV391905 QOV457441 QOV522977 QOV588513 QOV654049 QOV719585 QOV785121 QOV850657 QOV916193 QOV981729 QYR64225 QYR129761 QYR195297 QYR260833 QYR326369 QYR391905 QYR457441 QYR522977 QYR588513 QYR654049 QYR719585 QYR785121 QYR850657 QYR916193 QYR981729 RIN64225 RIN129761 RIN195297 RIN260833 RIN326369 RIN391905 RIN457441 RIN522977 RIN588513 RIN654049 RIN719585 RIN785121 RIN850657 RIN916193 RIN981729 RSJ64225 RSJ129761 RSJ195297 RSJ260833 RSJ326369 RSJ391905 RSJ457441 RSJ522977 RSJ588513 RSJ654049 RSJ719585 RSJ785121 RSJ850657 RSJ916193 RSJ981729 SCF64225 SCF129761 SCF195297 SCF260833 SCF326369 SCF391905 SCF457441 SCF522977 SCF588513 SCF654049 SCF719585 SCF785121 SCF850657 SCF916193 SCF981729 SMB64225 SMB129761 SMB195297 SMB260833 SMB326369 SMB391905 SMB457441 SMB522977 SMB588513 SMB654049 SMB719585 SMB785121 SMB850657 SMB916193 SMB981729 SVX64225 SVX129761 SVX195297 SVX260833 SVX326369 SVX391905 SVX457441 SVX522977 SVX588513 SVX654049 SVX719585 SVX785121 SVX850657 SVX916193 SVX981729 TFT64225 TFT129761 TFT195297 TFT260833 TFT326369 TFT391905 TFT457441 TFT522977 TFT588513 TFT654049 TFT719585 TFT785121 TFT850657 TFT916193 TFT981729 TPP64225 TPP129761 TPP195297 TPP260833 TPP326369 TPP391905 TPP457441 TPP522977 TPP588513 TPP654049 TPP719585 TPP785121 TPP850657 TPP916193 TPP981729 TZL64225 TZL129761 TZL195297 TZL260833 TZL326369 TZL391905 TZL457441 TZL522977 TZL588513 TZL654049 TZL719585 TZL785121 TZL850657 TZL916193 TZL981729 UJH64225 UJH129761 UJH195297 UJH260833 UJH326369 UJH391905 UJH457441 UJH522977 UJH588513 UJH654049 UJH719585 UJH785121 UJH850657 UJH916193 UJH981729 UTD64225 UTD129761 UTD195297 UTD260833 UTD326369 UTD391905 UTD457441 UTD522977 UTD588513 UTD654049 UTD719585 UTD785121 UTD850657 UTD916193 UTD981729 VCZ64225 VCZ129761 VCZ195297 VCZ260833 VCZ326369 VCZ391905 VCZ457441 VCZ522977 VCZ588513 VCZ654049 VCZ719585 VCZ785121 VCZ850657 VCZ916193 VCZ981729 VMV64225 VMV129761 VMV195297 VMV260833 VMV326369 VMV391905 VMV457441 VMV522977 VMV588513 VMV654049 VMV719585 VMV785121 VMV850657 VMV916193 VMV981729 VWR64225 VWR129761 VWR195297 VWR260833 VWR326369 VWR391905 VWR457441 VWR522977 VWR588513 VWR654049 VWR719585 VWR785121 VWR850657 VWR916193 VWR981729 WGN64225 WGN129761 WGN195297 WGN260833 WGN326369 WGN391905 WGN457441 WGN522977 WGN588513 WGN654049 WGN719585 WGN785121 WGN850657 WGN916193 WGN981729 WQJ64225 WQJ129761 WQJ195297 WQJ260833 WQJ326369 WQJ391905 WQJ457441 WQJ522977 WQJ588513 WQJ654049 WQJ719585 WQJ785121 WQJ850657 WQJ916193 WQJ981729" showDropDown="0" showInputMessage="1" showErrorMessage="1" allowBlank="1" type="list">
      <formula1>$B$63284:$B$63983</formula1>
    </dataValidation>
    <dataValidation sqref="DX5 NT5 XP5 AHL5 ARH5 BBD5 BKZ5 BUV5 CER5 CON5 CYJ5 DIF5 DSB5 EBX5 ELT5 EVP5 FFL5 FPH5 FZD5 GIZ5 GSV5 HCR5 HMN5 HWJ5 IGF5 IQB5 IZX5 JJT5 JTP5 KDL5 KNH5 KXD5 LGZ5 LQV5 MAR5 MKN5 MUJ5 NEF5 NOB5 NXX5 OHT5 ORP5 PBL5 PLH5 PVD5 QEZ5 QOV5 QYR5 RIN5 RSJ5 SCF5 SMB5 SVX5 TFT5 TPP5 TZL5 UJH5 UTD5 VCZ5 VMV5 VWR5 WGN5 WQJ5" showDropDown="0" showInputMessage="1" showErrorMessage="1" allowBlank="1" type="list">
      <formula1>$B$63455:$B$64154</formula1>
    </dataValidation>
    <dataValidation sqref="B5" showDropDown="0" showInputMessage="1" showErrorMessage="1" allowBlank="1" type="list">
      <formula1>$B$63368:$B$64067</formula1>
    </dataValidation>
    <dataValidation sqref="B64290 B129826 B195362 B260898 B326434 B391970 B457506 B523042 B588578 B654114 B719650 B785186 B850722 B916258 B981794" showDropDown="0" showInputMessage="1" showErrorMessage="1" allowBlank="1" type="list">
      <formula1>$B$63358:$B$64057</formula1>
    </dataValidation>
  </dataValidation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U34"/>
  <sheetViews>
    <sheetView zoomScale="87" zoomScaleNormal="87" workbookViewId="0">
      <pane xSplit="3" ySplit="7" topLeftCell="E8" activePane="bottomRight" state="frozen"/>
      <selection pane="topRight" activeCell="D1" sqref="D1"/>
      <selection pane="bottomLeft" activeCell="A8" sqref="A8"/>
      <selection pane="bottomRight" activeCell="C15" sqref="C15"/>
    </sheetView>
  </sheetViews>
  <sheetFormatPr baseColWidth="10" defaultColWidth="11.42578125" defaultRowHeight="12.75"/>
  <cols>
    <col width="8.5703125" bestFit="1" customWidth="1" style="85" min="1" max="1"/>
    <col width="38.28515625" bestFit="1" customWidth="1" style="85" min="2" max="2"/>
    <col width="18.140625" bestFit="1" customWidth="1" style="252" min="3" max="3"/>
    <col width="18.140625" bestFit="1" customWidth="1" style="253" min="4" max="5"/>
    <col width="18.140625" customWidth="1" style="253" min="6" max="8"/>
    <col hidden="1" width="15.140625" customWidth="1" style="253" min="9" max="9"/>
    <col width="6.42578125" customWidth="1" style="253" min="10" max="10"/>
    <col width="15.5703125" customWidth="1" style="253" min="11" max="11"/>
    <col width="17.28515625" customWidth="1" style="253" min="12" max="12"/>
    <col width="15.5703125" customWidth="1" style="253" min="13" max="14"/>
    <col width="14.42578125" customWidth="1" style="253" min="15" max="15"/>
    <col width="14.28515625" customWidth="1" style="252" min="16" max="16"/>
    <col width="14.28515625" bestFit="1" customWidth="1" style="253" min="17" max="17"/>
    <col width="15.5703125" bestFit="1" customWidth="1" style="253" min="18" max="18"/>
    <col width="14.28515625" bestFit="1" customWidth="1" style="253" min="19" max="19"/>
    <col width="15" customWidth="1" style="253" min="20" max="20"/>
    <col hidden="1" width="10.5703125" customWidth="1" style="253" min="21" max="21"/>
    <col hidden="1" width="10.140625" customWidth="1" style="253" min="22" max="23"/>
    <col hidden="1" width="10" customWidth="1" style="253" min="24" max="26"/>
    <col hidden="1" width="11.28515625" customWidth="1" style="253" min="27" max="27"/>
    <col hidden="1" width="10" customWidth="1" style="253" min="28" max="28"/>
    <col hidden="1" width="11.85546875" customWidth="1" style="253" min="29" max="29"/>
    <col hidden="1" width="11.7109375" customWidth="1" style="253" min="30" max="31"/>
    <col width="11.5703125" bestFit="1" customWidth="1" style="253" min="32" max="37"/>
    <col width="11.42578125" customWidth="1" style="253" min="38" max="16384"/>
  </cols>
  <sheetData>
    <row r="1" ht="15" customFormat="1" customHeight="1" s="82">
      <c r="A1" s="90" t="n"/>
      <c r="B1" s="90" t="n"/>
      <c r="C1" s="90" t="inlineStr">
        <is>
          <t>Área</t>
        </is>
      </c>
      <c r="D1" s="90" t="inlineStr">
        <is>
          <t>Área</t>
        </is>
      </c>
      <c r="E1" s="90" t="inlineStr">
        <is>
          <t>Área</t>
        </is>
      </c>
      <c r="F1" s="90" t="inlineStr">
        <is>
          <t>Área</t>
        </is>
      </c>
      <c r="G1" s="90" t="inlineStr">
        <is>
          <t>Área</t>
        </is>
      </c>
      <c r="H1" s="90" t="inlineStr">
        <is>
          <t>Área</t>
        </is>
      </c>
      <c r="I1" s="90" t="inlineStr">
        <is>
          <t>Área</t>
        </is>
      </c>
      <c r="J1" s="90" t="n"/>
      <c r="K1" s="90" t="inlineStr">
        <is>
          <t>Área</t>
        </is>
      </c>
      <c r="L1" s="90" t="inlineStr">
        <is>
          <t>Área</t>
        </is>
      </c>
      <c r="M1" s="90" t="inlineStr">
        <is>
          <t>Área</t>
        </is>
      </c>
      <c r="N1" s="90" t="inlineStr">
        <is>
          <t>Área</t>
        </is>
      </c>
      <c r="O1" s="90" t="inlineStr">
        <is>
          <t>Área</t>
        </is>
      </c>
      <c r="P1" s="90" t="inlineStr">
        <is>
          <t>Área</t>
        </is>
      </c>
      <c r="Q1" s="90" t="inlineStr">
        <is>
          <t>Área</t>
        </is>
      </c>
      <c r="R1" s="90" t="n"/>
      <c r="S1" s="90" t="n"/>
      <c r="T1" s="90" t="n"/>
      <c r="U1" s="90" t="n"/>
      <c r="V1" s="90" t="n"/>
      <c r="W1" s="90" t="n"/>
      <c r="X1" s="90" t="n"/>
      <c r="Y1" s="90" t="n"/>
      <c r="Z1" s="90" t="n"/>
      <c r="AA1" s="90" t="n"/>
      <c r="AB1" s="90" t="n"/>
      <c r="AC1" s="90" t="n"/>
      <c r="AD1" s="90" t="n"/>
      <c r="AE1" s="90" t="n"/>
      <c r="AF1" s="90" t="n"/>
      <c r="AG1" s="90" t="n"/>
      <c r="AH1" s="90" t="n"/>
      <c r="AI1" s="90" t="n"/>
      <c r="AJ1" s="90" t="n"/>
      <c r="AK1" s="90" t="n"/>
      <c r="AL1" s="254" t="n"/>
      <c r="AM1" s="254" t="n"/>
      <c r="AN1" s="254" t="n"/>
      <c r="AO1" s="254" t="n"/>
      <c r="AP1" s="254" t="n"/>
      <c r="AQ1" s="254" t="n"/>
      <c r="AR1" s="254" t="n"/>
      <c r="AS1" s="254" t="n"/>
      <c r="AT1" s="254" t="n"/>
      <c r="AU1" s="254" t="n"/>
    </row>
    <row r="2" ht="15" customFormat="1" customHeight="1" s="84">
      <c r="A2" s="90" t="n"/>
      <c r="B2" s="90" t="n"/>
      <c r="C2" s="91" t="inlineStr">
        <is>
          <t>2025</t>
        </is>
      </c>
      <c r="D2" s="91" t="inlineStr">
        <is>
          <t>2025</t>
        </is>
      </c>
      <c r="E2" s="91" t="inlineStr">
        <is>
          <t>2025</t>
        </is>
      </c>
      <c r="F2" s="91" t="inlineStr">
        <is>
          <t>2025</t>
        </is>
      </c>
      <c r="G2" s="91" t="inlineStr">
        <is>
          <t>2025</t>
        </is>
      </c>
      <c r="H2" s="91" t="inlineStr">
        <is>
          <t>2025</t>
        </is>
      </c>
      <c r="I2" s="91" t="inlineStr">
        <is>
          <t>2024</t>
        </is>
      </c>
      <c r="J2" s="90" t="n"/>
      <c r="K2" s="91" t="inlineStr">
        <is>
          <t>2025</t>
        </is>
      </c>
      <c r="L2" s="91" t="inlineStr">
        <is>
          <t>2025</t>
        </is>
      </c>
      <c r="M2" s="91" t="inlineStr">
        <is>
          <t>2025</t>
        </is>
      </c>
      <c r="N2" s="91" t="inlineStr">
        <is>
          <t>2025</t>
        </is>
      </c>
      <c r="O2" s="91" t="inlineStr">
        <is>
          <t>2025</t>
        </is>
      </c>
      <c r="P2" s="91" t="inlineStr">
        <is>
          <t>2025</t>
        </is>
      </c>
      <c r="Q2" s="91" t="inlineStr">
        <is>
          <t>2024</t>
        </is>
      </c>
      <c r="R2" s="91" t="n"/>
      <c r="S2" s="91" t="n"/>
      <c r="T2" s="91" t="n"/>
      <c r="U2" s="91" t="n"/>
      <c r="V2" s="91" t="n"/>
      <c r="W2" s="91" t="n"/>
      <c r="X2" s="91" t="n"/>
      <c r="Y2" s="91" t="n"/>
      <c r="Z2" s="91" t="n"/>
      <c r="AA2" s="91" t="n"/>
      <c r="AB2" s="91" t="n"/>
      <c r="AC2" s="91" t="n"/>
      <c r="AD2" s="91" t="n"/>
      <c r="AE2" s="91" t="n"/>
      <c r="AF2" s="91" t="n"/>
      <c r="AG2" s="91" t="n"/>
      <c r="AH2" s="91" t="n"/>
      <c r="AI2" s="91" t="n"/>
      <c r="AJ2" s="91" t="n"/>
      <c r="AK2" s="91" t="n"/>
      <c r="AL2" s="255" t="n"/>
      <c r="AM2" s="255" t="n"/>
      <c r="AN2" s="255" t="n"/>
      <c r="AO2" s="255" t="n"/>
      <c r="AP2" s="255" t="n"/>
      <c r="AQ2" s="255" t="n"/>
      <c r="AR2" s="255" t="n"/>
      <c r="AS2" s="255" t="n"/>
      <c r="AT2" s="255" t="n"/>
      <c r="AU2" s="255" t="n"/>
    </row>
    <row r="3" ht="15" customFormat="1" customHeight="1" s="82">
      <c r="A3" s="90" t="n"/>
      <c r="B3" s="90" t="n"/>
      <c r="C3" s="90" t="n"/>
      <c r="D3" s="90" t="n"/>
      <c r="E3" s="90" t="n"/>
      <c r="F3" s="90" t="n"/>
      <c r="G3" s="90" t="n"/>
      <c r="H3" s="90" t="n"/>
      <c r="I3" s="90" t="n"/>
      <c r="J3" s="90" t="n"/>
      <c r="K3" s="90" t="n"/>
      <c r="L3" s="90" t="n"/>
      <c r="M3" s="90" t="n"/>
      <c r="N3" s="90" t="n"/>
      <c r="O3" s="90" t="n"/>
      <c r="P3" s="90" t="n"/>
      <c r="Q3" s="90" t="n"/>
      <c r="R3" s="90" t="n"/>
      <c r="S3" s="90" t="n"/>
      <c r="T3" s="90" t="n"/>
      <c r="U3" s="90" t="n"/>
      <c r="V3" s="90" t="n"/>
      <c r="W3" s="90" t="n"/>
      <c r="X3" s="90" t="n"/>
      <c r="Y3" s="90" t="n"/>
      <c r="Z3" s="90" t="n"/>
      <c r="AA3" s="90" t="n"/>
      <c r="AB3" s="90" t="n"/>
      <c r="AC3" s="90" t="n"/>
      <c r="AD3" s="90" t="n"/>
      <c r="AE3" s="90" t="n"/>
      <c r="AF3" s="90" t="n"/>
      <c r="AG3" s="90" t="n"/>
      <c r="AH3" s="90" t="n"/>
      <c r="AI3" s="90" t="n"/>
      <c r="AJ3" s="90" t="n"/>
      <c r="AK3" s="90" t="n"/>
      <c r="AL3" s="254" t="n"/>
      <c r="AM3" s="254" t="n"/>
      <c r="AN3" s="254" t="n"/>
      <c r="AO3" s="254" t="n"/>
      <c r="AP3" s="254" t="n"/>
      <c r="AQ3" s="254" t="n"/>
      <c r="AR3" s="254" t="n"/>
      <c r="AS3" s="254" t="n"/>
      <c r="AT3" s="254" t="n"/>
      <c r="AU3" s="254" t="n"/>
    </row>
    <row r="4" ht="15" customFormat="1" customHeight="1" s="82">
      <c r="A4" s="90" t="n"/>
      <c r="B4" s="90" t="n"/>
      <c r="C4" s="90" t="inlineStr">
        <is>
          <t>InterCo</t>
        </is>
      </c>
      <c r="D4" s="90" t="inlineStr">
        <is>
          <t>InterCo</t>
        </is>
      </c>
      <c r="E4" s="90" t="inlineStr">
        <is>
          <t>InterCo</t>
        </is>
      </c>
      <c r="F4" s="90" t="inlineStr">
        <is>
          <t>InterCo</t>
        </is>
      </c>
      <c r="G4" s="90" t="inlineStr">
        <is>
          <t>InterCo</t>
        </is>
      </c>
      <c r="H4" s="90" t="inlineStr">
        <is>
          <t>InterCo</t>
        </is>
      </c>
      <c r="I4" s="90" t="inlineStr">
        <is>
          <t>InterCo</t>
        </is>
      </c>
      <c r="J4" s="90" t="n"/>
      <c r="K4" s="90" t="inlineStr">
        <is>
          <t>InterCo</t>
        </is>
      </c>
      <c r="L4" s="90" t="inlineStr">
        <is>
          <t>InterCo</t>
        </is>
      </c>
      <c r="M4" s="90" t="inlineStr">
        <is>
          <t>InterCo</t>
        </is>
      </c>
      <c r="N4" s="90" t="inlineStr">
        <is>
          <t>InterCo</t>
        </is>
      </c>
      <c r="O4" s="90" t="inlineStr">
        <is>
          <t>InterCo</t>
        </is>
      </c>
      <c r="P4" s="90" t="inlineStr">
        <is>
          <t>InterCo</t>
        </is>
      </c>
      <c r="Q4" s="90" t="inlineStr">
        <is>
          <t>InterCo</t>
        </is>
      </c>
      <c r="R4" s="90" t="n"/>
      <c r="S4" s="90" t="n"/>
      <c r="T4" s="90" t="n"/>
      <c r="U4" s="90" t="n"/>
      <c r="V4" s="90" t="n"/>
      <c r="W4" s="90" t="n"/>
      <c r="X4" s="90" t="n"/>
      <c r="Y4" s="90" t="n"/>
      <c r="Z4" s="90" t="n"/>
      <c r="AA4" s="90" t="n"/>
      <c r="AB4" s="90" t="n"/>
      <c r="AC4" s="90" t="n"/>
      <c r="AD4" s="90" t="n"/>
      <c r="AE4" s="90" t="n"/>
      <c r="AF4" s="90" t="n"/>
      <c r="AG4" s="90" t="n"/>
      <c r="AH4" s="90" t="n"/>
      <c r="AI4" s="90" t="n"/>
      <c r="AJ4" s="90" t="n"/>
      <c r="AK4" s="90" t="n"/>
      <c r="AL4" s="254" t="n"/>
      <c r="AM4" s="254" t="n"/>
      <c r="AN4" s="254" t="n"/>
      <c r="AO4" s="254" t="n"/>
      <c r="AP4" s="254" t="n"/>
      <c r="AQ4" s="254" t="n"/>
      <c r="AR4" s="254" t="n"/>
      <c r="AS4" s="254" t="n"/>
      <c r="AT4" s="254" t="n"/>
      <c r="AU4" s="254" t="n"/>
    </row>
    <row r="5" ht="15" customFormat="1" customHeight="1" s="82">
      <c r="A5" s="90" t="n"/>
      <c r="B5" s="90" t="n"/>
      <c r="C5" s="90" t="inlineStr">
        <is>
          <t>MONEDA LOCAL</t>
        </is>
      </c>
      <c r="D5" s="90" t="inlineStr">
        <is>
          <t>MONEDA LOCAL</t>
        </is>
      </c>
      <c r="E5" s="90" t="inlineStr">
        <is>
          <t>MONEDA LOCAL</t>
        </is>
      </c>
      <c r="F5" s="90" t="inlineStr">
        <is>
          <t>MONEDA LOCAL</t>
        </is>
      </c>
      <c r="G5" s="90" t="inlineStr">
        <is>
          <t>MONEDA LOCAL</t>
        </is>
      </c>
      <c r="H5" s="90" t="inlineStr">
        <is>
          <t>MONEDA LOCAL</t>
        </is>
      </c>
      <c r="I5" s="90" t="inlineStr">
        <is>
          <t>MONEDA LOCAL</t>
        </is>
      </c>
      <c r="J5" s="90" t="n"/>
      <c r="K5" s="90" t="inlineStr">
        <is>
          <t>Euros</t>
        </is>
      </c>
      <c r="L5" s="90" t="inlineStr">
        <is>
          <t>Euros</t>
        </is>
      </c>
      <c r="M5" s="90" t="inlineStr">
        <is>
          <t>Euros</t>
        </is>
      </c>
      <c r="N5" s="90" t="inlineStr">
        <is>
          <t>Euros</t>
        </is>
      </c>
      <c r="O5" s="90" t="inlineStr">
        <is>
          <t>Euros</t>
        </is>
      </c>
      <c r="P5" s="90" t="inlineStr">
        <is>
          <t>Euros</t>
        </is>
      </c>
      <c r="Q5" s="90" t="inlineStr">
        <is>
          <t>Euros</t>
        </is>
      </c>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254" t="n"/>
      <c r="AM5" s="254" t="n"/>
      <c r="AN5" s="254" t="n"/>
      <c r="AO5" s="254" t="n"/>
      <c r="AP5" s="254" t="n"/>
      <c r="AQ5" s="254" t="n"/>
      <c r="AR5" s="254" t="n"/>
      <c r="AS5" s="254" t="n"/>
      <c r="AT5" s="254" t="n"/>
      <c r="AU5" s="254" t="n"/>
    </row>
    <row r="6" ht="15" customFormat="1" customHeight="1" s="95">
      <c r="A6" s="90" t="n"/>
      <c r="B6" s="90" t="n"/>
      <c r="C6" s="90" t="inlineStr">
        <is>
          <t>Junio_ac</t>
        </is>
      </c>
      <c r="D6" s="90" t="inlineStr">
        <is>
          <t>Mayo_ac</t>
        </is>
      </c>
      <c r="E6" s="90" t="inlineStr">
        <is>
          <t>Abril_ac</t>
        </is>
      </c>
      <c r="F6" s="90" t="inlineStr">
        <is>
          <t>Marzo_ac</t>
        </is>
      </c>
      <c r="G6" s="90" t="inlineStr">
        <is>
          <t>Febrero_ac</t>
        </is>
      </c>
      <c r="H6" s="90" t="inlineStr">
        <is>
          <t>Enero_ac</t>
        </is>
      </c>
      <c r="I6" s="90" t="inlineStr">
        <is>
          <t>Diciembre_ac</t>
        </is>
      </c>
      <c r="J6" s="90" t="n"/>
      <c r="K6" s="90" t="inlineStr">
        <is>
          <t>Junio_ac</t>
        </is>
      </c>
      <c r="L6" s="90" t="inlineStr">
        <is>
          <t>Mayo_ac</t>
        </is>
      </c>
      <c r="M6" s="90" t="inlineStr">
        <is>
          <t>Abril_ac</t>
        </is>
      </c>
      <c r="N6" s="90" t="inlineStr">
        <is>
          <t>Marzo_ac</t>
        </is>
      </c>
      <c r="O6" s="90" t="inlineStr">
        <is>
          <t>Febrero_ac</t>
        </is>
      </c>
      <c r="P6" s="90" t="inlineStr">
        <is>
          <t>Enero_ac</t>
        </is>
      </c>
      <c r="Q6" s="90" t="inlineStr">
        <is>
          <t>Diciembre_ac</t>
        </is>
      </c>
      <c r="R6" s="90" t="n"/>
      <c r="S6" s="90" t="n"/>
      <c r="T6" s="90" t="n"/>
      <c r="U6" s="90" t="n"/>
      <c r="V6" s="90" t="n"/>
      <c r="W6" s="90" t="n"/>
      <c r="X6" s="90" t="n"/>
      <c r="Y6" s="90" t="n"/>
      <c r="Z6" s="90" t="n"/>
      <c r="AA6" s="90" t="n"/>
      <c r="AB6" s="90" t="n"/>
      <c r="AC6" s="90" t="n"/>
      <c r="AD6" s="94" t="n"/>
      <c r="AE6" s="94" t="n"/>
      <c r="AF6" s="94" t="n"/>
      <c r="AG6" s="94" t="n"/>
      <c r="AH6" s="94" t="n"/>
      <c r="AI6" s="94" t="n"/>
      <c r="AJ6" s="94" t="n"/>
      <c r="AK6" s="94" t="n"/>
      <c r="AL6" s="256" t="n"/>
      <c r="AM6" s="256" t="n"/>
      <c r="AN6" s="256" t="n"/>
      <c r="AO6" s="256" t="n"/>
      <c r="AP6" s="256" t="n"/>
      <c r="AQ6" s="256" t="n"/>
      <c r="AR6" s="256" t="n"/>
      <c r="AS6" s="256" t="n"/>
      <c r="AT6" s="256" t="n"/>
      <c r="AU6" s="256" t="n"/>
    </row>
    <row r="7" ht="15" customFormat="1" customHeight="1" s="82">
      <c r="A7" s="90" t="n"/>
      <c r="B7" s="90" t="n"/>
      <c r="C7" s="90" t="inlineStr">
        <is>
          <t>Real</t>
        </is>
      </c>
      <c r="D7" s="90" t="inlineStr">
        <is>
          <t>Real</t>
        </is>
      </c>
      <c r="E7" s="90" t="inlineStr">
        <is>
          <t>Real</t>
        </is>
      </c>
      <c r="F7" s="90" t="inlineStr">
        <is>
          <t>Real</t>
        </is>
      </c>
      <c r="G7" s="90" t="inlineStr">
        <is>
          <t>Real</t>
        </is>
      </c>
      <c r="H7" s="90" t="inlineStr">
        <is>
          <t>Real</t>
        </is>
      </c>
      <c r="I7" s="90" t="inlineStr">
        <is>
          <t>Real</t>
        </is>
      </c>
      <c r="J7" s="90" t="n"/>
      <c r="K7" s="90" t="inlineStr">
        <is>
          <t>Real</t>
        </is>
      </c>
      <c r="L7" s="90" t="inlineStr">
        <is>
          <t>Real</t>
        </is>
      </c>
      <c r="M7" s="90" t="inlineStr">
        <is>
          <t>Real</t>
        </is>
      </c>
      <c r="N7" s="90" t="inlineStr">
        <is>
          <t>Real</t>
        </is>
      </c>
      <c r="O7" s="90" t="inlineStr">
        <is>
          <t>Real</t>
        </is>
      </c>
      <c r="P7" s="90" t="inlineStr">
        <is>
          <t>Real</t>
        </is>
      </c>
      <c r="Q7" s="90" t="inlineStr">
        <is>
          <t>Real</t>
        </is>
      </c>
      <c r="R7" s="257" t="n"/>
      <c r="S7" s="257" t="n"/>
      <c r="T7" s="257" t="n"/>
      <c r="U7" s="257" t="n"/>
      <c r="V7" s="257" t="n"/>
      <c r="W7" s="257" t="n"/>
      <c r="X7" s="257" t="n"/>
      <c r="Y7" s="257" t="n"/>
      <c r="Z7" s="257" t="n"/>
      <c r="AA7" s="257" t="n"/>
      <c r="AB7" s="257" t="n"/>
      <c r="AC7" s="257" t="n"/>
      <c r="AD7" s="257" t="n"/>
      <c r="AE7" s="257" t="n"/>
      <c r="AF7" s="257" t="n"/>
      <c r="AG7" s="257" t="n"/>
      <c r="AH7" s="257" t="n"/>
      <c r="AI7" s="257" t="n"/>
      <c r="AJ7" s="257" t="n"/>
      <c r="AK7" s="257" t="n"/>
      <c r="AL7" s="252" t="n"/>
      <c r="AM7" s="252" t="n"/>
      <c r="AN7" s="252" t="n"/>
      <c r="AO7" s="252" t="n"/>
      <c r="AP7" s="252" t="n"/>
      <c r="AQ7" s="252" t="n"/>
      <c r="AR7" s="254" t="n"/>
      <c r="AS7" s="254" t="n"/>
      <c r="AT7" s="254" t="n"/>
      <c r="AU7" s="254" t="n"/>
    </row>
    <row r="8" ht="15" customHeight="1">
      <c r="A8" s="120" t="inlineStr">
        <is>
          <t>43091</t>
        </is>
      </c>
      <c r="B8" s="76" t="inlineStr">
        <is>
          <t>FRAS.PDTE.EMITIR</t>
        </is>
      </c>
      <c r="C8" s="258" t="n">
        <v>109019.9990000001</v>
      </c>
      <c r="D8" s="258" t="n">
        <v>135565.2190000001</v>
      </c>
      <c r="E8" s="258" t="n">
        <v>141915.5390000001</v>
      </c>
      <c r="F8" s="258" t="n">
        <v>383468.0530000001</v>
      </c>
      <c r="G8" s="258" t="n">
        <v>152290.976</v>
      </c>
      <c r="H8" s="258" t="n">
        <v>144628.731</v>
      </c>
      <c r="I8" s="258" t="n">
        <v>124708.518</v>
      </c>
      <c r="J8" s="258" t="n"/>
      <c r="K8" s="258" t="n">
        <v>22.81788000000001</v>
      </c>
      <c r="L8" s="258" t="n">
        <v>28.78049000000001</v>
      </c>
      <c r="M8" s="258" t="n">
        <v>29.73130000000001</v>
      </c>
      <c r="N8" s="258" t="n">
        <v>84.66975000000002</v>
      </c>
      <c r="O8" s="258" t="n">
        <v>35.54470000000001</v>
      </c>
      <c r="P8" s="258" t="n">
        <v>33.36585000000001</v>
      </c>
      <c r="Q8" s="258" t="n">
        <v>27.31114999999995</v>
      </c>
      <c r="R8" s="258" t="n"/>
      <c r="S8" s="258" t="n"/>
      <c r="T8" s="258" t="n"/>
      <c r="U8" s="258" t="n"/>
      <c r="V8" s="258" t="n"/>
      <c r="W8" s="258" t="n"/>
      <c r="X8" s="258" t="n"/>
      <c r="Y8" s="258" t="n"/>
      <c r="Z8" s="258" t="n"/>
      <c r="AA8" s="258" t="n"/>
      <c r="AB8" s="258" t="n"/>
      <c r="AC8" s="258" t="n"/>
      <c r="AD8" s="258" t="n"/>
      <c r="AE8" s="258" t="n"/>
      <c r="AF8" s="258" t="n"/>
      <c r="AG8" s="258" t="n"/>
      <c r="AH8" s="258" t="n"/>
      <c r="AI8" s="258" t="n"/>
      <c r="AJ8" s="258" t="n"/>
      <c r="AK8" s="258" t="n"/>
    </row>
    <row r="9" ht="15" customFormat="1" customHeight="1" s="259">
      <c r="A9" s="120" t="inlineStr">
        <is>
          <t>43001</t>
        </is>
      </c>
      <c r="B9" s="76" t="inlineStr">
        <is>
          <t>CLIENTES NACIONALES</t>
        </is>
      </c>
      <c r="C9" s="258" t="n">
        <v>11767166.114</v>
      </c>
      <c r="D9" s="258" t="n">
        <v>11339465.071</v>
      </c>
      <c r="E9" s="258" t="n">
        <v>10068075.695</v>
      </c>
      <c r="F9" s="258" t="n">
        <v>9045581.641000003</v>
      </c>
      <c r="G9" s="258" t="n">
        <v>12423160.691</v>
      </c>
      <c r="H9" s="258" t="n">
        <v>13484167.965</v>
      </c>
      <c r="I9" s="258" t="n">
        <v>11886554.317</v>
      </c>
      <c r="J9" s="258" t="n"/>
      <c r="K9" s="258" t="n">
        <v>2462.867880000001</v>
      </c>
      <c r="L9" s="258" t="n">
        <v>2407.368450000001</v>
      </c>
      <c r="M9" s="258" t="n">
        <v>2109.261860000001</v>
      </c>
      <c r="N9" s="258" t="n">
        <v>1997.264440000001</v>
      </c>
      <c r="O9" s="258" t="n">
        <v>2899.565690000001</v>
      </c>
      <c r="P9" s="258" t="n">
        <v>3110.797530000001</v>
      </c>
      <c r="Q9" s="258" t="n">
        <v>2603.155400000001</v>
      </c>
      <c r="R9" s="258" t="n"/>
      <c r="S9" s="258" t="n"/>
      <c r="T9" s="258" t="n"/>
      <c r="U9" s="258" t="n"/>
      <c r="V9" s="258" t="n"/>
      <c r="W9" s="258" t="n"/>
      <c r="X9" s="258" t="n"/>
      <c r="Y9" s="258" t="n"/>
      <c r="Z9" s="258" t="n"/>
      <c r="AA9" s="258" t="n"/>
      <c r="AB9" s="258" t="n"/>
      <c r="AC9" s="258" t="n"/>
      <c r="AD9" s="260" t="n"/>
      <c r="AE9" s="260" t="n"/>
      <c r="AF9" s="260" t="n"/>
      <c r="AG9" s="260" t="n"/>
      <c r="AH9" s="260" t="n"/>
      <c r="AI9" s="260" t="n"/>
      <c r="AJ9" s="260" t="n"/>
      <c r="AK9" s="260" t="n"/>
    </row>
    <row r="10" ht="15" customFormat="1" customHeight="1" s="259">
      <c r="A10" s="120" t="inlineStr">
        <is>
          <t>43002</t>
        </is>
      </c>
      <c r="B10" s="76" t="inlineStr">
        <is>
          <t>CLIENTES NACIONALES ESPECIALES</t>
        </is>
      </c>
      <c r="C10" s="258" t="n">
        <v>-166267.8</v>
      </c>
      <c r="D10" s="258" t="n">
        <v>-166267.8</v>
      </c>
      <c r="E10" s="258" t="n">
        <v>-166267.8</v>
      </c>
      <c r="F10" s="258" t="n">
        <v>-166267.8</v>
      </c>
      <c r="G10" s="258" t="n">
        <v>-166267.8</v>
      </c>
      <c r="H10" s="258" t="n">
        <v>-166267.8</v>
      </c>
      <c r="I10" s="258" t="n">
        <v>-191612.598</v>
      </c>
      <c r="J10" s="258" t="n"/>
      <c r="K10" s="258" t="n">
        <v>-34.79985000000001</v>
      </c>
      <c r="L10" s="258" t="n">
        <v>-35.29865000000001</v>
      </c>
      <c r="M10" s="258" t="n">
        <v>-34.83310000000001</v>
      </c>
      <c r="N10" s="258" t="n">
        <v>-36.71193000000001</v>
      </c>
      <c r="O10" s="258" t="n">
        <v>-38.80690000000001</v>
      </c>
      <c r="P10" s="258" t="n">
        <v>-38.35798</v>
      </c>
      <c r="Q10" s="258" t="n">
        <v>-41.96315999999999</v>
      </c>
      <c r="R10" s="258" t="n"/>
      <c r="S10" s="258" t="n"/>
      <c r="T10" s="258" t="n"/>
      <c r="U10" s="258" t="n"/>
      <c r="V10" s="258" t="n"/>
      <c r="W10" s="258" t="n"/>
      <c r="X10" s="258" t="n"/>
      <c r="Y10" s="258" t="n"/>
      <c r="Z10" s="258" t="n"/>
      <c r="AA10" s="258" t="n"/>
      <c r="AB10" s="258" t="n"/>
      <c r="AC10" s="258" t="n"/>
      <c r="AD10" s="260" t="n"/>
      <c r="AE10" s="260" t="n"/>
      <c r="AF10" s="260" t="n"/>
      <c r="AG10" s="260" t="n"/>
      <c r="AH10" s="260" t="n"/>
      <c r="AI10" s="260" t="n"/>
      <c r="AJ10" s="260" t="n"/>
      <c r="AK10" s="260" t="n"/>
    </row>
    <row r="11" ht="15" customFormat="1" customHeight="1" s="259">
      <c r="A11" s="120" t="inlineStr">
        <is>
          <t>43008</t>
        </is>
      </c>
      <c r="B11" s="76" t="inlineStr">
        <is>
          <t>CONSIGNACION CLIENTES NO IDENT</t>
        </is>
      </c>
      <c r="C11" s="258" t="n">
        <v>-31623.26300000001</v>
      </c>
      <c r="D11" s="258" t="n">
        <v>-33753.16900000001</v>
      </c>
      <c r="E11" s="258" t="n">
        <v>-41959.57900000001</v>
      </c>
      <c r="F11" s="258" t="n">
        <v>-20862.49700000001</v>
      </c>
      <c r="G11" s="258" t="n">
        <v>-8214.378000000006</v>
      </c>
      <c r="H11" s="258" t="n">
        <v>-7895.174000000006</v>
      </c>
      <c r="I11" s="258" t="n">
        <v>-26204.07899999999</v>
      </c>
      <c r="J11" s="258" t="n"/>
      <c r="K11" s="258" t="n">
        <v>-6.618740000000001</v>
      </c>
      <c r="L11" s="258" t="n">
        <v>-7.165800000000001</v>
      </c>
      <c r="M11" s="258" t="n">
        <v>-8.79053</v>
      </c>
      <c r="N11" s="258" t="n">
        <v>-4.606440000000001</v>
      </c>
      <c r="O11" s="258" t="n">
        <v>-1.917230000000001</v>
      </c>
      <c r="P11" s="258" t="n">
        <v>-1.821420000000001</v>
      </c>
      <c r="Q11" s="258" t="n">
        <v>-5.738690000000007</v>
      </c>
      <c r="R11" s="258" t="n"/>
      <c r="S11" s="258" t="n"/>
      <c r="T11" s="258" t="n"/>
      <c r="U11" s="258" t="n"/>
      <c r="V11" s="258" t="n"/>
      <c r="W11" s="258" t="n"/>
      <c r="X11" s="258" t="n"/>
      <c r="Y11" s="258" t="n"/>
      <c r="Z11" s="258" t="n"/>
      <c r="AA11" s="258" t="n"/>
      <c r="AB11" s="258" t="n"/>
      <c r="AC11" s="258" t="n"/>
      <c r="AD11" s="260" t="n"/>
      <c r="AE11" s="260" t="n"/>
      <c r="AF11" s="260" t="n"/>
      <c r="AG11" s="260" t="n"/>
      <c r="AH11" s="260" t="n"/>
      <c r="AI11" s="260" t="n"/>
      <c r="AJ11" s="260" t="n"/>
      <c r="AK11" s="260" t="n"/>
    </row>
    <row r="12" ht="15" customFormat="1" customHeight="1" s="259">
      <c r="A12" s="120" t="inlineStr">
        <is>
          <t>43042</t>
        </is>
      </c>
      <c r="B12" s="76" t="inlineStr">
        <is>
          <t>CLIENTES EXTRANJERO EUROS</t>
        </is>
      </c>
      <c r="C12" s="258" t="n">
        <v>5014814.431000001</v>
      </c>
      <c r="D12" s="258" t="n">
        <v>4942146.308000001</v>
      </c>
      <c r="E12" s="258" t="n">
        <v>5455379.046000001</v>
      </c>
      <c r="F12" s="258" t="n">
        <v>5266346.959000001</v>
      </c>
      <c r="G12" s="258" t="n">
        <v>5558645.995000001</v>
      </c>
      <c r="H12" s="258" t="n">
        <v>5534157.130000001</v>
      </c>
      <c r="I12" s="258" t="n">
        <v>5167789.980000001</v>
      </c>
      <c r="J12" s="258" t="n"/>
      <c r="K12" s="258" t="n">
        <v>1049.60066</v>
      </c>
      <c r="L12" s="258" t="n">
        <v>1049.21767</v>
      </c>
      <c r="M12" s="258" t="n">
        <v>1142.90191</v>
      </c>
      <c r="N12" s="258" t="n">
        <v>1162.8094</v>
      </c>
      <c r="O12" s="258" t="n">
        <v>1297.38797</v>
      </c>
      <c r="P12" s="258" t="n">
        <v>1276.73004</v>
      </c>
      <c r="Q12" s="258" t="n">
        <v>1131.746</v>
      </c>
      <c r="R12" s="258" t="n"/>
      <c r="S12" s="258" t="n"/>
      <c r="T12" s="258" t="n"/>
      <c r="U12" s="258" t="n"/>
      <c r="V12" s="258" t="n"/>
      <c r="W12" s="258" t="n"/>
      <c r="X12" s="258" t="n"/>
      <c r="Y12" s="258" t="n"/>
      <c r="Z12" s="258" t="n"/>
      <c r="AA12" s="258" t="n"/>
      <c r="AB12" s="258" t="n"/>
      <c r="AC12" s="258" t="n"/>
      <c r="AD12" s="260" t="n"/>
      <c r="AE12" s="260" t="n"/>
      <c r="AF12" s="260" t="n"/>
      <c r="AG12" s="260" t="n"/>
      <c r="AH12" s="260" t="n"/>
      <c r="AI12" s="260" t="n"/>
      <c r="AJ12" s="260" t="n"/>
      <c r="AK12" s="260" t="n"/>
    </row>
    <row r="13" ht="15" customFormat="1" customHeight="1" s="259">
      <c r="A13" s="120" t="inlineStr">
        <is>
          <t>43092</t>
        </is>
      </c>
      <c r="B13" s="76" t="inlineStr">
        <is>
          <t>CHEQUES DEVUELTOS NACIONALES</t>
        </is>
      </c>
      <c r="C13" s="258" t="n">
        <v>0</v>
      </c>
      <c r="D13" s="258" t="n">
        <v>0</v>
      </c>
      <c r="E13" s="258" t="n">
        <v>0</v>
      </c>
      <c r="F13" s="258" t="n">
        <v>0</v>
      </c>
      <c r="G13" s="258" t="n">
        <v>0</v>
      </c>
      <c r="H13" s="258" t="n">
        <v>0</v>
      </c>
      <c r="I13" s="258" t="n">
        <v>0</v>
      </c>
      <c r="J13" s="258" t="n"/>
      <c r="K13" s="258" t="n">
        <v>0</v>
      </c>
      <c r="L13" s="258" t="n">
        <v>0</v>
      </c>
      <c r="M13" s="258" t="n">
        <v>0</v>
      </c>
      <c r="N13" s="258" t="n">
        <v>0</v>
      </c>
      <c r="O13" s="258" t="n">
        <v>0</v>
      </c>
      <c r="P13" s="258" t="n">
        <v>0</v>
      </c>
      <c r="Q13" s="258" t="n">
        <v>0</v>
      </c>
      <c r="R13" s="258" t="n"/>
      <c r="S13" s="258" t="n"/>
      <c r="T13" s="258" t="n"/>
      <c r="U13" s="258" t="n"/>
      <c r="V13" s="258" t="n"/>
      <c r="W13" s="258" t="n"/>
      <c r="X13" s="258" t="n"/>
      <c r="Y13" s="258" t="n"/>
      <c r="Z13" s="258" t="n"/>
      <c r="AA13" s="258" t="n"/>
      <c r="AB13" s="258" t="n"/>
      <c r="AC13" s="258" t="n"/>
      <c r="AD13" s="260" t="n"/>
      <c r="AE13" s="260" t="n"/>
      <c r="AF13" s="260" t="n"/>
      <c r="AG13" s="260" t="n"/>
      <c r="AH13" s="260" t="n"/>
      <c r="AI13" s="260" t="n"/>
      <c r="AJ13" s="260" t="n"/>
      <c r="AK13" s="260" t="n"/>
    </row>
    <row r="14" ht="15" customFormat="1" customHeight="1" s="259">
      <c r="A14" s="120" t="inlineStr">
        <is>
          <t>43101</t>
        </is>
      </c>
      <c r="B14" s="76" t="inlineStr">
        <is>
          <t>CHEQUES POSTFECHADOS  NACIONAL</t>
        </is>
      </c>
      <c r="C14" s="258" t="n">
        <v>0</v>
      </c>
      <c r="D14" s="258" t="n">
        <v>0</v>
      </c>
      <c r="E14" s="258" t="n">
        <v>0</v>
      </c>
      <c r="F14" s="258" t="n">
        <v>0</v>
      </c>
      <c r="G14" s="258" t="n">
        <v>0</v>
      </c>
      <c r="H14" s="258" t="n">
        <v>0</v>
      </c>
      <c r="I14" s="258" t="n">
        <v>0</v>
      </c>
      <c r="J14" s="258" t="n"/>
      <c r="K14" s="258" t="n">
        <v>0</v>
      </c>
      <c r="L14" s="258" t="n">
        <v>0</v>
      </c>
      <c r="M14" s="258" t="n">
        <v>0</v>
      </c>
      <c r="N14" s="258" t="n">
        <v>0</v>
      </c>
      <c r="O14" s="258" t="n">
        <v>0</v>
      </c>
      <c r="P14" s="258" t="n">
        <v>0</v>
      </c>
      <c r="Q14" s="258" t="n">
        <v>0</v>
      </c>
      <c r="R14" s="258" t="n"/>
      <c r="S14" s="258" t="n"/>
      <c r="T14" s="258" t="n"/>
      <c r="U14" s="258" t="n"/>
      <c r="V14" s="258" t="n"/>
      <c r="W14" s="258" t="n"/>
      <c r="X14" s="258" t="n"/>
      <c r="Y14" s="258" t="n"/>
      <c r="Z14" s="258" t="n"/>
      <c r="AA14" s="258" t="n"/>
      <c r="AB14" s="258" t="n"/>
      <c r="AC14" s="258" t="n"/>
      <c r="AD14" s="260" t="n"/>
      <c r="AE14" s="260" t="n"/>
      <c r="AF14" s="260" t="n"/>
      <c r="AG14" s="260" t="n"/>
      <c r="AH14" s="260" t="n"/>
      <c r="AI14" s="260" t="n"/>
      <c r="AJ14" s="260" t="n"/>
      <c r="AK14" s="260" t="n"/>
    </row>
    <row r="15" ht="16.5" customFormat="1" customHeight="1" s="261">
      <c r="A15" s="262" t="inlineStr">
        <is>
          <t>BCA10_1</t>
        </is>
      </c>
      <c r="B15" s="233" t="inlineStr">
        <is>
          <t>CLIENTES POR VENTAS Y PREST.SERVICIOS</t>
        </is>
      </c>
      <c r="C15" s="263">
        <f>SUM(C9:C14)</f>
        <v/>
      </c>
      <c r="D15" s="264">
        <f>SUM(D9:D14)</f>
        <v/>
      </c>
      <c r="E15" s="264">
        <f>SUM(E9:E14)</f>
        <v/>
      </c>
      <c r="F15" s="264">
        <f>SUM(F9:F14)</f>
        <v/>
      </c>
      <c r="G15" s="264">
        <f>SUM(G9:G14)</f>
        <v/>
      </c>
      <c r="H15" s="264">
        <f>SUM(H9:H14)</f>
        <v/>
      </c>
      <c r="I15" s="264">
        <f>SUM(I9:I14)</f>
        <v/>
      </c>
      <c r="J15" s="233" t="n"/>
      <c r="K15" s="263">
        <f>SUM(K9:K14)</f>
        <v/>
      </c>
      <c r="L15" s="264">
        <f>SUM(L9:L14)</f>
        <v/>
      </c>
      <c r="M15" s="264">
        <f>SUM(M9:M14)</f>
        <v/>
      </c>
      <c r="N15" s="264">
        <f>SUM(N9:N14)</f>
        <v/>
      </c>
      <c r="O15" s="264">
        <f>SUM(O9:O14)</f>
        <v/>
      </c>
      <c r="P15" s="264">
        <f>SUM(P9:P14)</f>
        <v/>
      </c>
      <c r="Q15" s="264">
        <f>SUM(Q9:Q14)</f>
        <v/>
      </c>
      <c r="R15" s="263" t="n"/>
      <c r="S15" s="264" t="n"/>
      <c r="T15" s="264" t="n"/>
      <c r="U15" s="264" t="n"/>
      <c r="V15" s="264" t="n"/>
      <c r="W15" s="264" t="n"/>
      <c r="X15" s="264" t="n"/>
      <c r="Y15" s="264" t="n"/>
      <c r="Z15" s="264" t="n"/>
      <c r="AA15" s="264" t="n"/>
      <c r="AB15" s="264" t="n"/>
      <c r="AC15" s="264" t="n"/>
      <c r="AD15" s="265" t="n"/>
      <c r="AE15" s="265" t="n"/>
      <c r="AF15" s="265" t="n"/>
      <c r="AG15" s="265" t="n"/>
      <c r="AH15" s="265" t="n"/>
      <c r="AI15" s="265" t="n"/>
      <c r="AJ15" s="265" t="n"/>
      <c r="AK15" s="265" t="n"/>
    </row>
    <row r="16" ht="15" customHeight="1">
      <c r="A16" s="76" t="n"/>
      <c r="B16" s="76" t="n"/>
      <c r="C16" s="258" t="n"/>
      <c r="D16" s="258" t="n"/>
      <c r="E16" s="258" t="n"/>
      <c r="F16" s="258" t="n"/>
      <c r="G16" s="258" t="n"/>
      <c r="H16" s="258" t="n"/>
      <c r="I16" s="258" t="n"/>
      <c r="J16" s="258" t="n"/>
      <c r="K16" s="258" t="n"/>
      <c r="L16" s="258" t="n"/>
      <c r="M16" s="258" t="n"/>
      <c r="N16" s="258" t="n"/>
      <c r="O16" s="258" t="n"/>
      <c r="P16" s="258" t="n"/>
      <c r="Q16" s="258" t="n"/>
      <c r="R16" s="258" t="n"/>
      <c r="S16" s="258" t="n"/>
      <c r="T16" s="258" t="n"/>
      <c r="U16" s="258" t="n"/>
      <c r="V16" s="258" t="n"/>
      <c r="W16" s="258" t="n"/>
      <c r="X16" s="258" t="n"/>
      <c r="Y16" s="258" t="n"/>
      <c r="Z16" s="258" t="n"/>
      <c r="AA16" s="258" t="n"/>
      <c r="AB16" s="258" t="n"/>
      <c r="AC16" s="258" t="n"/>
      <c r="AD16" s="258" t="n"/>
      <c r="AE16" s="258" t="n"/>
      <c r="AF16" s="258" t="n"/>
      <c r="AG16" s="258" t="n"/>
      <c r="AH16" s="258" t="n"/>
      <c r="AI16" s="258" t="n"/>
      <c r="AJ16" s="258" t="n"/>
      <c r="AK16" s="258" t="n"/>
    </row>
    <row r="17" ht="15" customHeight="1">
      <c r="A17" s="76" t="n"/>
      <c r="B17" s="76" t="n"/>
      <c r="C17" s="258" t="n"/>
      <c r="D17" s="258" t="n"/>
      <c r="E17" s="258" t="n"/>
      <c r="F17" s="258" t="n"/>
      <c r="G17" s="258" t="n"/>
      <c r="H17" s="258" t="n"/>
      <c r="I17" s="258" t="n"/>
      <c r="J17" s="258" t="n"/>
      <c r="K17" s="258" t="n"/>
      <c r="L17" s="258" t="n"/>
      <c r="M17" s="258" t="n"/>
      <c r="N17" s="258" t="n"/>
      <c r="O17" s="258" t="n"/>
      <c r="P17" s="258" t="n"/>
      <c r="Q17" s="258" t="n"/>
      <c r="R17" s="258" t="n"/>
      <c r="S17" s="258" t="n"/>
      <c r="T17" s="258" t="n"/>
      <c r="U17" s="258" t="n"/>
      <c r="V17" s="258" t="n"/>
      <c r="W17" s="258" t="n"/>
      <c r="X17" s="258" t="n"/>
      <c r="Y17" s="258" t="n"/>
      <c r="Z17" s="258" t="n"/>
      <c r="AA17" s="258" t="n"/>
      <c r="AB17" s="258" t="n"/>
      <c r="AC17" s="258" t="n"/>
      <c r="AD17" s="258" t="n"/>
      <c r="AE17" s="258" t="n"/>
      <c r="AF17" s="258" t="n"/>
      <c r="AG17" s="258" t="n"/>
      <c r="AH17" s="258" t="n"/>
      <c r="AI17" s="258" t="n"/>
      <c r="AJ17" s="258" t="n"/>
      <c r="AK17" s="258" t="n"/>
    </row>
    <row r="18" ht="15" customHeight="1">
      <c r="A18" s="76" t="n"/>
      <c r="B18" s="76" t="n"/>
      <c r="C18" s="258" t="n"/>
      <c r="D18" s="258" t="n"/>
      <c r="E18" s="258" t="n"/>
      <c r="F18" s="258" t="n"/>
      <c r="G18" s="258" t="n"/>
      <c r="H18" s="258" t="n"/>
      <c r="I18" s="258" t="n"/>
      <c r="J18" s="258" t="n"/>
      <c r="K18" s="258" t="n"/>
      <c r="L18" s="258" t="n"/>
      <c r="M18" s="258" t="n"/>
      <c r="N18" s="258" t="n"/>
      <c r="O18" s="258" t="n"/>
      <c r="P18" s="258" t="n"/>
      <c r="Q18" s="258" t="n"/>
      <c r="R18" s="258" t="n"/>
      <c r="S18" s="258" t="n"/>
      <c r="T18" s="258" t="n"/>
      <c r="U18" s="258" t="n"/>
      <c r="V18" s="258" t="n"/>
      <c r="W18" s="258" t="n"/>
      <c r="X18" s="258" t="n"/>
      <c r="Y18" s="258" t="n"/>
      <c r="Z18" s="258" t="n"/>
      <c r="AA18" s="258" t="n"/>
      <c r="AB18" s="258" t="n"/>
      <c r="AC18" s="258" t="n"/>
      <c r="AD18" s="258" t="n"/>
      <c r="AE18" s="258" t="n"/>
      <c r="AF18" s="258" t="n"/>
      <c r="AG18" s="258" t="n"/>
      <c r="AH18" s="258" t="n"/>
      <c r="AI18" s="258" t="n"/>
      <c r="AJ18" s="258" t="n"/>
      <c r="AK18" s="258" t="n"/>
    </row>
    <row r="19" ht="15" customHeight="1">
      <c r="A19" s="76" t="n"/>
      <c r="B19" s="76" t="n"/>
      <c r="C19" s="258" t="n"/>
      <c r="D19" s="258" t="n"/>
      <c r="E19" s="258" t="n"/>
      <c r="F19" s="258" t="n"/>
      <c r="G19" s="258" t="n"/>
      <c r="H19" s="258" t="n"/>
      <c r="I19" s="258" t="n"/>
      <c r="J19" s="258" t="n"/>
      <c r="K19" s="258" t="n"/>
      <c r="L19" s="258" t="n"/>
      <c r="M19" s="258" t="n"/>
      <c r="N19" s="258" t="n"/>
      <c r="O19" s="258" t="n"/>
      <c r="P19" s="258" t="n"/>
      <c r="Q19" s="258" t="n"/>
      <c r="R19" s="258" t="n"/>
      <c r="S19" s="258" t="n"/>
      <c r="T19" s="258" t="n"/>
      <c r="U19" s="258" t="n"/>
      <c r="V19" s="258" t="n"/>
      <c r="W19" s="258" t="n"/>
      <c r="X19" s="258" t="n"/>
      <c r="Y19" s="258" t="n"/>
      <c r="Z19" s="258" t="n"/>
      <c r="AA19" s="258" t="n"/>
      <c r="AB19" s="258" t="n"/>
      <c r="AC19" s="258" t="n"/>
      <c r="AD19" s="258" t="n"/>
      <c r="AE19" s="258" t="n"/>
      <c r="AF19" s="258" t="n"/>
      <c r="AG19" s="258" t="n"/>
      <c r="AH19" s="258" t="n"/>
      <c r="AI19" s="258" t="n"/>
      <c r="AJ19" s="258" t="n"/>
      <c r="AK19" s="258" t="n"/>
    </row>
    <row r="20" ht="15" customHeight="1">
      <c r="A20" s="76" t="n"/>
      <c r="B20" s="76" t="n"/>
      <c r="C20" s="258" t="n"/>
      <c r="D20" s="258" t="n"/>
      <c r="E20" s="258" t="n"/>
      <c r="F20" s="258" t="n"/>
      <c r="G20" s="258" t="n"/>
      <c r="H20" s="258" t="n"/>
      <c r="I20" s="258" t="n"/>
      <c r="J20" s="258" t="n"/>
      <c r="K20" s="258" t="n"/>
      <c r="L20" s="258" t="n"/>
      <c r="M20" s="258" t="n"/>
      <c r="N20" s="258" t="n"/>
      <c r="O20" s="258" t="n"/>
      <c r="P20" s="258" t="n"/>
      <c r="Q20" s="258" t="n"/>
      <c r="R20" s="258" t="n"/>
      <c r="S20" s="258" t="n"/>
      <c r="T20" s="258" t="n"/>
      <c r="U20" s="258" t="n"/>
      <c r="V20" s="258" t="n"/>
      <c r="W20" s="258" t="n"/>
      <c r="X20" s="258" t="n"/>
      <c r="Y20" s="258" t="n"/>
      <c r="Z20" s="258" t="n"/>
      <c r="AA20" s="258" t="n"/>
      <c r="AB20" s="258" t="n"/>
      <c r="AC20" s="258" t="n"/>
      <c r="AD20" s="258" t="n"/>
      <c r="AE20" s="258" t="n"/>
      <c r="AF20" s="258" t="n"/>
      <c r="AG20" s="258" t="n"/>
      <c r="AH20" s="258" t="n"/>
      <c r="AI20" s="258" t="n"/>
      <c r="AJ20" s="258" t="n"/>
      <c r="AK20" s="258" t="n"/>
    </row>
    <row r="21" ht="15" customHeight="1">
      <c r="A21" s="76" t="n"/>
      <c r="B21" s="76" t="n"/>
      <c r="C21" s="258" t="n"/>
      <c r="D21" s="258" t="n"/>
      <c r="E21" s="258" t="n"/>
      <c r="F21" s="258" t="n"/>
      <c r="G21" s="258" t="n"/>
      <c r="H21" s="258" t="n"/>
      <c r="I21" s="258" t="n"/>
      <c r="J21" s="258" t="n"/>
      <c r="K21" s="258" t="n"/>
      <c r="L21" s="258" t="n"/>
      <c r="M21" s="258" t="n"/>
      <c r="N21" s="258" t="n"/>
      <c r="O21" s="258" t="n"/>
      <c r="P21" s="258" t="n"/>
      <c r="Q21" s="258" t="n"/>
      <c r="R21" s="258" t="n"/>
      <c r="S21" s="258" t="n"/>
      <c r="T21" s="258" t="n"/>
      <c r="U21" s="258" t="n"/>
      <c r="V21" s="258" t="n"/>
      <c r="W21" s="258" t="n"/>
      <c r="X21" s="258" t="n"/>
      <c r="Y21" s="258" t="n"/>
      <c r="Z21" s="258" t="n"/>
      <c r="AA21" s="258" t="n"/>
      <c r="AB21" s="258" t="n"/>
      <c r="AC21" s="258" t="n"/>
      <c r="AD21" s="258" t="n"/>
      <c r="AE21" s="258" t="n"/>
      <c r="AF21" s="258" t="n"/>
      <c r="AG21" s="258" t="n"/>
      <c r="AH21" s="258" t="n"/>
      <c r="AI21" s="258" t="n"/>
      <c r="AJ21" s="258" t="n"/>
      <c r="AK21" s="258" t="n"/>
    </row>
    <row r="22" ht="15" customHeight="1">
      <c r="A22" s="120" t="inlineStr">
        <is>
          <t>BCA10_2</t>
        </is>
      </c>
      <c r="B22" s="76" t="inlineStr">
        <is>
          <t>DEUDORES EMP. GRUPO Y ASOCIADAS</t>
        </is>
      </c>
      <c r="C22" s="258" t="n">
        <v>17562618.156</v>
      </c>
      <c r="D22" s="258" t="n">
        <v>17631527.941</v>
      </c>
      <c r="E22" s="258" t="n">
        <v>17049717.159</v>
      </c>
      <c r="F22" s="258" t="n">
        <v>16185587.211</v>
      </c>
      <c r="G22" s="258" t="n">
        <v>15741401.519</v>
      </c>
      <c r="H22" s="258" t="n">
        <v>15686237.665</v>
      </c>
      <c r="I22" s="258" t="n">
        <v>15698847.66900001</v>
      </c>
      <c r="J22" s="258" t="n"/>
      <c r="K22" s="258" t="n">
        <v>3675.85595</v>
      </c>
      <c r="L22" s="258" t="n">
        <v>3743.17338</v>
      </c>
      <c r="M22" s="258" t="n">
        <v>3571.91571</v>
      </c>
      <c r="N22" s="258" t="n">
        <v>3573.77766</v>
      </c>
      <c r="O22" s="258" t="n">
        <v>3674.04312</v>
      </c>
      <c r="P22" s="258" t="n">
        <v>3618.81503</v>
      </c>
      <c r="Q22" s="258" t="n">
        <v>3438.047669999998</v>
      </c>
      <c r="R22" s="258" t="n"/>
      <c r="S22" s="258" t="n"/>
      <c r="T22" s="258" t="n"/>
      <c r="U22" s="258" t="n"/>
      <c r="V22" s="258" t="n"/>
      <c r="W22" s="258" t="n"/>
      <c r="X22" s="258" t="n"/>
      <c r="Y22" s="258" t="n"/>
      <c r="Z22" s="258" t="n"/>
      <c r="AA22" s="258" t="n"/>
      <c r="AB22" s="258" t="n"/>
      <c r="AC22" s="258" t="n"/>
      <c r="AD22" s="258" t="n"/>
      <c r="AE22" s="258" t="n"/>
      <c r="AF22" s="258" t="n"/>
      <c r="AG22" s="258" t="n"/>
      <c r="AH22" s="258" t="n"/>
      <c r="AI22" s="258" t="n"/>
      <c r="AJ22" s="258" t="n"/>
      <c r="AK22" s="258" t="n"/>
    </row>
    <row r="23" ht="16.5" customHeight="1">
      <c r="A23" s="120" t="inlineStr">
        <is>
          <t>BCA10_3</t>
        </is>
      </c>
      <c r="B23" s="76" t="inlineStr">
        <is>
          <t>DEUDORES VARIOS.</t>
        </is>
      </c>
      <c r="C23" s="258" t="n">
        <v>338139.1989999998</v>
      </c>
      <c r="D23" s="258" t="n">
        <v>362454.8389999999</v>
      </c>
      <c r="E23" s="258" t="n">
        <v>419888.5149999998</v>
      </c>
      <c r="F23" s="258" t="n">
        <v>418471.6409999998</v>
      </c>
      <c r="G23" s="258" t="n">
        <v>437210.5049999998</v>
      </c>
      <c r="H23" s="258" t="n">
        <v>510784.2049999998</v>
      </c>
      <c r="I23" s="258" t="n">
        <v>334258.4669999999</v>
      </c>
      <c r="J23" s="258" t="n"/>
      <c r="K23" s="258" t="n">
        <v>70.77252000000004</v>
      </c>
      <c r="L23" s="258" t="n">
        <v>76.94915000000003</v>
      </c>
      <c r="M23" s="258" t="n">
        <v>87.96665000000003</v>
      </c>
      <c r="N23" s="258" t="n">
        <v>92.39854000000003</v>
      </c>
      <c r="O23" s="258" t="n">
        <v>102.04493</v>
      </c>
      <c r="P23" s="258" t="n">
        <v>117.83792</v>
      </c>
      <c r="Q23" s="258" t="n">
        <v>73.20263999999997</v>
      </c>
      <c r="R23" s="258" t="n"/>
      <c r="S23" s="258" t="n"/>
      <c r="T23" s="258" t="n"/>
      <c r="U23" s="258" t="n"/>
      <c r="V23" s="258" t="n"/>
      <c r="W23" s="258" t="n"/>
      <c r="X23" s="258" t="n"/>
      <c r="Y23" s="258" t="n"/>
      <c r="Z23" s="258" t="n"/>
      <c r="AA23" s="258" t="n"/>
      <c r="AB23" s="258" t="n"/>
      <c r="AC23" s="258" t="n"/>
      <c r="AD23" s="258" t="n"/>
      <c r="AE23" s="258" t="n"/>
      <c r="AF23" s="258" t="n"/>
      <c r="AG23" s="258" t="n"/>
      <c r="AH23" s="258" t="n"/>
      <c r="AI23" s="258" t="n"/>
      <c r="AJ23" s="258" t="n"/>
      <c r="AK23" s="258" t="n"/>
    </row>
    <row r="24" ht="15" customHeight="1">
      <c r="A24" s="120" t="inlineStr">
        <is>
          <t>BCA10_6</t>
        </is>
      </c>
      <c r="B24" s="76" t="inlineStr">
        <is>
          <t>PROV. DEUDORES</t>
        </is>
      </c>
      <c r="C24" s="258" t="n">
        <v>-3705582.237</v>
      </c>
      <c r="D24" s="258" t="n">
        <v>-3782825.331</v>
      </c>
      <c r="E24" s="258" t="n">
        <v>-3802172.565</v>
      </c>
      <c r="F24" s="258" t="n">
        <v>-3814697.616</v>
      </c>
      <c r="G24" s="258" t="n">
        <v>-3725651.837</v>
      </c>
      <c r="H24" s="258" t="n">
        <v>-3723421.944</v>
      </c>
      <c r="I24" s="258" t="n">
        <v>-3889993.061999998</v>
      </c>
      <c r="J24" s="258" t="n"/>
      <c r="K24" s="258" t="n">
        <v>-775.5783699999998</v>
      </c>
      <c r="L24" s="258" t="n">
        <v>-803.0937999999999</v>
      </c>
      <c r="M24" s="258" t="n">
        <v>-796.5551499999999</v>
      </c>
      <c r="N24" s="258" t="n">
        <v>-842.2852399999999</v>
      </c>
      <c r="O24" s="258" t="n">
        <v>-869.56715</v>
      </c>
      <c r="P24" s="258" t="n">
        <v>-858.9934499999999</v>
      </c>
      <c r="Q24" s="258" t="n">
        <v>-851.9084699999999</v>
      </c>
      <c r="R24" s="258" t="n"/>
      <c r="S24" s="258" t="n"/>
      <c r="T24" s="258" t="n"/>
      <c r="U24" s="258" t="n"/>
      <c r="V24" s="258" t="n"/>
      <c r="W24" s="258" t="n"/>
      <c r="X24" s="258" t="n"/>
      <c r="Y24" s="258" t="n"/>
      <c r="Z24" s="258" t="n"/>
      <c r="AA24" s="258" t="n"/>
      <c r="AB24" s="258" t="n"/>
      <c r="AC24" s="258" t="n"/>
      <c r="AD24" s="258" t="n"/>
      <c r="AE24" s="258" t="n"/>
      <c r="AF24" s="258" t="n"/>
      <c r="AG24" s="258" t="n"/>
      <c r="AH24" s="258" t="n"/>
      <c r="AI24" s="258" t="n"/>
    </row>
    <row r="25" ht="15" customHeight="1">
      <c r="A25" s="120" t="inlineStr">
        <is>
          <t>BCA10A</t>
        </is>
      </c>
      <c r="B25" s="76" t="inlineStr">
        <is>
          <t>DEUDORES CIALES Y OTRAS CTAS COBRAR.</t>
        </is>
      </c>
      <c r="C25" s="258" t="n">
        <v>30888284.599</v>
      </c>
      <c r="D25" s="258" t="n">
        <v>30428313.078</v>
      </c>
      <c r="E25" s="258" t="n">
        <v>29124576.01</v>
      </c>
      <c r="F25" s="258" t="n">
        <v>27297627.592</v>
      </c>
      <c r="G25" s="258" t="n">
        <v>30412575.671</v>
      </c>
      <c r="H25" s="258" t="n">
        <v>31462390.778</v>
      </c>
      <c r="I25" s="258" t="n">
        <v>29104349.21200001</v>
      </c>
      <c r="J25" s="258" t="n"/>
      <c r="K25" s="258" t="n">
        <v>6464.917930000001</v>
      </c>
      <c r="L25" s="258" t="n">
        <v>6459.930890000001</v>
      </c>
      <c r="M25" s="258" t="n">
        <v>6101.598650000001</v>
      </c>
      <c r="N25" s="258" t="n">
        <v>6027.316180000001</v>
      </c>
      <c r="O25" s="258" t="n">
        <v>7098.29513</v>
      </c>
      <c r="P25" s="258" t="n">
        <v>7258.37352</v>
      </c>
      <c r="Q25" s="258" t="n">
        <v>6373.85254</v>
      </c>
      <c r="R25" s="258" t="n"/>
      <c r="S25" s="258" t="n"/>
      <c r="T25" s="258" t="n"/>
      <c r="U25" s="258" t="n"/>
      <c r="V25" s="258" t="n"/>
      <c r="W25" s="258" t="n"/>
      <c r="X25" s="258" t="n"/>
      <c r="Y25" s="258" t="n"/>
      <c r="Z25" s="258" t="n"/>
      <c r="AA25" s="258" t="n"/>
      <c r="AB25" s="258" t="n"/>
      <c r="AC25" s="258" t="n"/>
      <c r="AD25" s="258" t="n"/>
      <c r="AE25" s="258" t="n"/>
      <c r="AF25" s="258" t="n"/>
      <c r="AG25" s="258" t="n"/>
    </row>
    <row r="26" ht="12" customHeight="1">
      <c r="A26" s="120" t="inlineStr">
        <is>
          <t>BCA10_3</t>
        </is>
      </c>
      <c r="B26" s="76" t="inlineStr">
        <is>
          <t>DEUDORES VARIOS.</t>
        </is>
      </c>
      <c r="C26" s="258" t="n">
        <v>338139.1989999998</v>
      </c>
      <c r="D26" s="258" t="n">
        <v>362454.8389999999</v>
      </c>
      <c r="E26" s="258" t="n">
        <v>419888.5149999998</v>
      </c>
      <c r="F26" s="258" t="n">
        <v>418471.6409999998</v>
      </c>
      <c r="G26" s="258" t="n">
        <v>437210.5049999998</v>
      </c>
      <c r="H26" s="258" t="n">
        <v>510784.2049999998</v>
      </c>
      <c r="I26" s="258" t="n">
        <v>334258.4669999999</v>
      </c>
      <c r="J26" s="258" t="n"/>
      <c r="K26" s="258" t="n">
        <v>70.77252000000004</v>
      </c>
      <c r="L26" s="258" t="n">
        <v>76.94915000000003</v>
      </c>
      <c r="M26" s="258" t="n">
        <v>87.96665000000003</v>
      </c>
      <c r="N26" s="258" t="n">
        <v>92.39854000000003</v>
      </c>
      <c r="O26" s="258" t="n">
        <v>102.04493</v>
      </c>
      <c r="P26" s="258" t="n">
        <v>117.83792</v>
      </c>
      <c r="Q26" s="258" t="n">
        <v>73.20263999999997</v>
      </c>
      <c r="R26" s="258" t="n"/>
      <c r="S26" s="258" t="n"/>
      <c r="T26" s="258" t="n"/>
      <c r="U26" s="258" t="n"/>
      <c r="V26" s="258" t="n"/>
      <c r="W26" s="258" t="n"/>
      <c r="X26" s="258" t="n"/>
      <c r="Y26" s="258" t="n"/>
      <c r="Z26" s="258" t="n"/>
      <c r="AA26" s="258" t="n"/>
      <c r="AB26" s="258" t="n"/>
      <c r="AC26" s="258" t="n"/>
      <c r="AD26" s="258" t="n"/>
      <c r="AE26" s="258" t="n"/>
      <c r="AF26" s="258" t="n"/>
      <c r="AG26" s="258" t="n"/>
    </row>
    <row r="27" ht="15" customHeight="1">
      <c r="A27" s="120" t="inlineStr">
        <is>
          <t>BCA10_6</t>
        </is>
      </c>
      <c r="B27" s="76" t="inlineStr">
        <is>
          <t>PROV. DEUDORES</t>
        </is>
      </c>
      <c r="C27" s="258" t="n">
        <v>-3705582.237</v>
      </c>
      <c r="D27" s="258" t="n">
        <v>-3782825.331</v>
      </c>
      <c r="E27" s="258" t="n">
        <v>-3802172.565</v>
      </c>
      <c r="F27" s="258" t="n">
        <v>-3814697.616</v>
      </c>
      <c r="G27" s="258" t="n">
        <v>-3725651.837</v>
      </c>
      <c r="H27" s="258" t="n">
        <v>-3723421.944</v>
      </c>
      <c r="I27" s="258" t="n">
        <v>-3889993.061999998</v>
      </c>
      <c r="J27" s="258" t="n"/>
      <c r="K27" s="258" t="n">
        <v>-775.5783699999998</v>
      </c>
      <c r="L27" s="258" t="n">
        <v>-803.0937999999999</v>
      </c>
      <c r="M27" s="258" t="n">
        <v>-796.5551499999999</v>
      </c>
      <c r="N27" s="258" t="n">
        <v>-842.2852399999999</v>
      </c>
      <c r="O27" s="258" t="n">
        <v>-869.56715</v>
      </c>
      <c r="P27" s="258" t="n">
        <v>-858.9934499999999</v>
      </c>
      <c r="Q27" s="258" t="n">
        <v>-851.9084699999999</v>
      </c>
      <c r="R27" s="258" t="n"/>
      <c r="S27" s="258" t="n"/>
      <c r="T27" s="258" t="n"/>
      <c r="U27" s="258" t="n"/>
      <c r="V27" s="258" t="n"/>
      <c r="W27" s="258" t="n"/>
      <c r="X27" s="258" t="n"/>
      <c r="Y27" s="258" t="n"/>
      <c r="Z27" s="258" t="n"/>
      <c r="AA27" s="258" t="n"/>
      <c r="AB27" s="258" t="n"/>
      <c r="AC27" s="258" t="n"/>
      <c r="AD27" s="258" t="n"/>
      <c r="AE27" s="258" t="n"/>
      <c r="AF27" s="258" t="n"/>
      <c r="AG27" s="258" t="n"/>
    </row>
    <row r="28" ht="15" customHeight="1">
      <c r="A28" s="120" t="inlineStr">
        <is>
          <t>BCA10A</t>
        </is>
      </c>
      <c r="B28" s="76" t="inlineStr">
        <is>
          <t>DEUDORES CIALES Y OTRAS CTAS COBRAR.</t>
        </is>
      </c>
      <c r="C28" s="258" t="n">
        <v>30888284.599</v>
      </c>
      <c r="D28" s="258" t="n">
        <v>30428313.078</v>
      </c>
      <c r="E28" s="258" t="n">
        <v>29124576.01</v>
      </c>
      <c r="F28" s="258" t="n">
        <v>27297627.592</v>
      </c>
      <c r="G28" s="258" t="n">
        <v>30412575.671</v>
      </c>
      <c r="H28" s="258" t="n">
        <v>31462390.778</v>
      </c>
      <c r="I28" s="258" t="n">
        <v>29104349.21200001</v>
      </c>
      <c r="J28" s="258" t="n"/>
      <c r="K28" s="258" t="n">
        <v>6464.917930000001</v>
      </c>
      <c r="L28" s="258" t="n">
        <v>6459.930890000001</v>
      </c>
      <c r="M28" s="258" t="n">
        <v>6101.598650000001</v>
      </c>
      <c r="N28" s="258" t="n">
        <v>6027.316180000001</v>
      </c>
      <c r="O28" s="258" t="n">
        <v>7098.29513</v>
      </c>
      <c r="P28" s="258" t="n">
        <v>7258.37352</v>
      </c>
      <c r="Q28" s="258" t="n">
        <v>6373.85254</v>
      </c>
      <c r="R28" s="258" t="n"/>
      <c r="S28" s="258" t="n"/>
      <c r="T28" s="258" t="n"/>
      <c r="U28" s="258" t="n"/>
      <c r="V28" s="258" t="n"/>
      <c r="W28" s="258" t="n"/>
      <c r="X28" s="258" t="n"/>
      <c r="Y28" s="258" t="n"/>
      <c r="Z28" s="258" t="n"/>
      <c r="AA28" s="258" t="n"/>
      <c r="AB28" s="258" t="n"/>
      <c r="AC28" s="258" t="n"/>
      <c r="AD28" s="258" t="n"/>
      <c r="AE28" s="258" t="n"/>
      <c r="AF28" s="258" t="n"/>
      <c r="AG28" s="258" t="n"/>
    </row>
    <row r="29" ht="15" customHeight="1">
      <c r="A29" s="76" t="n"/>
      <c r="B29" s="76" t="n"/>
      <c r="C29" s="266" t="n"/>
      <c r="D29" s="266" t="n"/>
      <c r="E29" s="266" t="n"/>
      <c r="F29" s="266" t="n"/>
      <c r="G29" s="266" t="n"/>
      <c r="H29" s="266" t="n"/>
      <c r="I29" s="266" t="n"/>
      <c r="J29" s="266" t="n"/>
      <c r="K29" s="266" t="n"/>
      <c r="L29" s="266" t="n"/>
      <c r="M29" s="266" t="n"/>
      <c r="N29" s="266" t="n"/>
      <c r="O29" s="266" t="n"/>
      <c r="P29" s="266" t="n"/>
      <c r="Q29" s="266" t="n"/>
      <c r="R29" s="258" t="n"/>
      <c r="S29" s="258" t="n"/>
      <c r="T29" s="258" t="n"/>
      <c r="U29" s="258" t="n"/>
      <c r="V29" s="258" t="n"/>
      <c r="W29" s="258" t="n"/>
      <c r="X29" s="258" t="n"/>
      <c r="Y29" s="258" t="n"/>
      <c r="Z29" s="258" t="n"/>
      <c r="AA29" s="258" t="n"/>
      <c r="AB29" s="258" t="n"/>
      <c r="AC29" s="258" t="n"/>
      <c r="AD29" s="258" t="n"/>
      <c r="AE29" s="258" t="n"/>
      <c r="AF29" s="258" t="n"/>
      <c r="AG29" s="258" t="n"/>
    </row>
    <row r="30" ht="15" customHeight="1">
      <c r="A30" s="76" t="n"/>
      <c r="B30" s="76" t="n"/>
      <c r="C30" s="266" t="n"/>
      <c r="D30" s="266" t="n"/>
      <c r="E30" s="266" t="n"/>
      <c r="F30" s="266" t="n"/>
      <c r="G30" s="266" t="n"/>
      <c r="H30" s="266" t="n"/>
      <c r="I30" s="266" t="n"/>
      <c r="J30" s="266" t="n"/>
      <c r="K30" s="266" t="n"/>
      <c r="L30" s="266" t="n"/>
      <c r="M30" s="266" t="n"/>
      <c r="N30" s="266" t="n"/>
      <c r="O30" s="266" t="n"/>
      <c r="P30" s="266" t="n"/>
      <c r="Q30" s="266" t="n"/>
      <c r="R30" s="258" t="n"/>
      <c r="S30" s="258" t="n"/>
      <c r="T30" s="258" t="n"/>
      <c r="U30" s="258" t="n"/>
      <c r="V30" s="258" t="n"/>
      <c r="W30" s="258" t="n"/>
      <c r="X30" s="258" t="n"/>
      <c r="Y30" s="258" t="n"/>
      <c r="Z30" s="258" t="n"/>
      <c r="AA30" s="258" t="n"/>
    </row>
    <row r="31" ht="15" customHeight="1">
      <c r="A31" s="76" t="n"/>
      <c r="B31" s="76" t="n"/>
      <c r="C31" s="266" t="n"/>
      <c r="D31" s="266" t="n"/>
      <c r="E31" s="266" t="n"/>
      <c r="F31" s="266" t="n"/>
      <c r="G31" s="266" t="n"/>
      <c r="H31" s="266" t="n"/>
      <c r="I31" s="266" t="n"/>
      <c r="J31" s="266" t="n"/>
      <c r="K31" s="266" t="n"/>
      <c r="L31" s="266" t="n"/>
      <c r="M31" s="266" t="n"/>
      <c r="N31" s="266" t="n"/>
      <c r="O31" s="266" t="n"/>
      <c r="P31" s="266" t="n"/>
      <c r="Q31" s="266" t="n"/>
      <c r="R31" s="258" t="n"/>
      <c r="S31" s="258" t="n"/>
      <c r="T31" s="258" t="n"/>
      <c r="U31" s="258" t="n"/>
      <c r="V31" s="258" t="n"/>
      <c r="W31" s="258" t="n"/>
      <c r="X31" s="258" t="n"/>
      <c r="Y31" s="258" t="n"/>
      <c r="Z31" s="258" t="n"/>
      <c r="AA31" s="258" t="n"/>
    </row>
    <row r="32" ht="15" customHeight="1">
      <c r="A32" s="76" t="n"/>
      <c r="B32" s="76" t="n"/>
      <c r="C32" s="266" t="n"/>
      <c r="D32" s="266" t="n"/>
      <c r="E32" s="266" t="n"/>
      <c r="F32" s="266" t="n"/>
      <c r="G32" s="266" t="n"/>
      <c r="H32" s="266" t="n"/>
      <c r="I32" s="266" t="n"/>
      <c r="J32" s="266" t="n"/>
      <c r="K32" s="266" t="n"/>
      <c r="L32" s="266" t="n"/>
      <c r="M32" s="266" t="n"/>
      <c r="N32" s="266" t="n"/>
      <c r="O32" s="266" t="n"/>
      <c r="P32" s="266" t="n"/>
      <c r="Q32" s="266" t="n"/>
      <c r="R32" s="258" t="n"/>
      <c r="S32" s="258" t="n"/>
      <c r="T32" s="258" t="n"/>
      <c r="U32" s="258" t="n"/>
      <c r="V32" s="258" t="n"/>
      <c r="W32" s="258" t="n"/>
      <c r="X32" s="258" t="n"/>
      <c r="Y32" s="258" t="n"/>
      <c r="Z32" s="258" t="n"/>
      <c r="AA32" s="258" t="n"/>
    </row>
    <row r="33" ht="15" customHeight="1">
      <c r="A33" s="76" t="n"/>
      <c r="B33" s="76" t="n"/>
      <c r="C33" s="266" t="n"/>
      <c r="D33" s="266" t="n"/>
      <c r="E33" s="266" t="n"/>
      <c r="F33" s="266" t="n"/>
      <c r="G33" s="266" t="n"/>
      <c r="H33" s="266" t="n"/>
      <c r="I33" s="266" t="n"/>
      <c r="J33" s="266" t="n"/>
      <c r="K33" s="266" t="n"/>
      <c r="L33" s="266" t="n"/>
      <c r="M33" s="266" t="n"/>
      <c r="N33" s="266" t="n"/>
      <c r="O33" s="266" t="n"/>
      <c r="P33" s="266" t="n"/>
      <c r="Q33" s="266" t="n"/>
      <c r="R33" s="258" t="n"/>
      <c r="S33" s="258" t="n"/>
      <c r="T33" s="258" t="n"/>
      <c r="U33" s="258" t="n"/>
      <c r="V33" s="258" t="n"/>
      <c r="W33" s="258" t="n"/>
      <c r="X33" s="258" t="n"/>
      <c r="Y33" s="258" t="n"/>
      <c r="Z33" s="258" t="n"/>
      <c r="AA33" s="258" t="n"/>
    </row>
    <row r="34" ht="15" customHeight="1">
      <c r="A34" s="76" t="n"/>
      <c r="B34" s="76" t="n"/>
      <c r="C34" s="266" t="n"/>
      <c r="D34" s="266" t="n"/>
      <c r="E34" s="266" t="n"/>
      <c r="F34" s="266" t="n"/>
      <c r="G34" s="266" t="n"/>
      <c r="H34" s="266" t="n"/>
      <c r="I34" s="266" t="n"/>
      <c r="J34" s="266" t="n"/>
      <c r="K34" s="266" t="n"/>
      <c r="L34" s="266" t="n"/>
      <c r="M34" s="266" t="n"/>
      <c r="N34" s="266" t="n"/>
      <c r="O34" s="266" t="n"/>
      <c r="P34" s="266" t="n"/>
      <c r="Q34" s="266" t="n"/>
      <c r="R34" s="258" t="n"/>
      <c r="S34" s="258" t="n"/>
      <c r="T34" s="258" t="n"/>
      <c r="U34" s="258" t="n"/>
      <c r="V34" s="258" t="n"/>
      <c r="W34" s="258" t="n"/>
      <c r="X34" s="258" t="n"/>
      <c r="Y34" s="258" t="n"/>
      <c r="Z34" s="258" t="n"/>
      <c r="AA34" s="258"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K27"/>
  <sheetViews>
    <sheetView workbookViewId="0">
      <pane xSplit="3" ySplit="7" topLeftCell="F17" activePane="bottomRight" state="frozen"/>
      <selection pane="topRight" activeCell="D1" sqref="D1"/>
      <selection pane="bottomLeft" activeCell="A8" sqref="A8"/>
      <selection pane="bottomRight" activeCell="C23" sqref="C23"/>
    </sheetView>
  </sheetViews>
  <sheetFormatPr baseColWidth="10" defaultColWidth="11.42578125" defaultRowHeight="15"/>
  <cols>
    <col width="10.7109375" customWidth="1" min="1" max="1"/>
    <col width="34.7109375" customWidth="1" min="2" max="2"/>
    <col width="18.7109375" customWidth="1" style="267" min="3" max="3"/>
    <col width="16.5703125" customWidth="1" style="267" min="4" max="4"/>
    <col width="19.28515625" customWidth="1" style="267" min="5" max="5"/>
    <col width="16.28515625" customWidth="1" style="267" min="6" max="6"/>
    <col width="15" customWidth="1" style="267" min="7" max="7"/>
    <col width="13.42578125" customWidth="1" style="267" min="8" max="8"/>
    <col width="6.5703125" customWidth="1" style="267" min="9" max="10"/>
    <col width="16.5703125" customWidth="1" style="267" min="11" max="11"/>
    <col width="14.42578125" customWidth="1" style="267" min="12" max="12"/>
    <col width="15.7109375" customWidth="1" style="267" min="13" max="13"/>
    <col width="15.85546875" customWidth="1" style="267" min="14" max="14"/>
    <col width="13.28515625" customWidth="1" style="267" min="15" max="15"/>
    <col width="17" customWidth="1" style="267" min="16" max="16"/>
    <col width="19.42578125" customWidth="1" style="267" min="17" max="17"/>
    <col width="18.140625" customWidth="1" style="267" min="18" max="18"/>
    <col width="16.85546875" customWidth="1" style="267" min="19" max="19"/>
    <col hidden="1" width="13.42578125" customWidth="1" style="267" min="20" max="20"/>
    <col hidden="1" width="14.42578125" customWidth="1" style="267" min="21" max="21"/>
    <col hidden="1" width="16.5703125" customWidth="1" style="267" min="22" max="22"/>
    <col hidden="1" width="14" customWidth="1" style="267" min="23" max="23"/>
    <col hidden="1" width="13.85546875" customWidth="1" style="267" min="24" max="24"/>
    <col hidden="1" width="16.85546875" customWidth="1" style="267" min="25" max="25"/>
    <col hidden="1" width="13.42578125" customWidth="1" style="267" min="26" max="26"/>
    <col hidden="1" width="18.85546875" customWidth="1" style="267" min="27" max="27"/>
    <col hidden="1" width="33.140625" customWidth="1" style="267" min="28" max="28"/>
    <col hidden="1" width="13.5703125" customWidth="1" style="267" min="29" max="29"/>
    <col hidden="1" width="15.5703125" customWidth="1" style="267" min="30" max="30"/>
    <col hidden="1" width="18.5703125" customWidth="1" style="267" min="31" max="31"/>
    <col width="11.42578125" customWidth="1" style="267" min="32" max="16384"/>
  </cols>
  <sheetData>
    <row r="1" customFormat="1" s="58">
      <c r="A1" s="90" t="n"/>
      <c r="B1" s="90" t="n"/>
      <c r="C1" s="90" t="inlineStr">
        <is>
          <t>Área</t>
        </is>
      </c>
      <c r="D1" s="90" t="inlineStr">
        <is>
          <t>Área</t>
        </is>
      </c>
      <c r="E1" s="90" t="inlineStr">
        <is>
          <t>Área</t>
        </is>
      </c>
      <c r="F1" s="90" t="inlineStr">
        <is>
          <t>Área</t>
        </is>
      </c>
      <c r="G1" s="90" t="inlineStr">
        <is>
          <t>Área</t>
        </is>
      </c>
      <c r="H1" s="90" t="inlineStr">
        <is>
          <t>Área</t>
        </is>
      </c>
      <c r="I1" s="90" t="n"/>
      <c r="J1" s="90" t="n"/>
      <c r="K1" s="90" t="inlineStr">
        <is>
          <t>Área</t>
        </is>
      </c>
      <c r="L1" s="90" t="inlineStr">
        <is>
          <t>Área</t>
        </is>
      </c>
      <c r="M1" s="90" t="inlineStr">
        <is>
          <t>Área</t>
        </is>
      </c>
      <c r="N1" s="90" t="inlineStr">
        <is>
          <t>Área</t>
        </is>
      </c>
      <c r="O1" s="90" t="inlineStr">
        <is>
          <t>Área</t>
        </is>
      </c>
      <c r="P1" s="90" t="inlineStr">
        <is>
          <t>Área</t>
        </is>
      </c>
      <c r="Q1" s="90" t="n"/>
      <c r="R1" s="90" t="n"/>
      <c r="S1" s="90" t="n"/>
      <c r="T1" s="90" t="n"/>
      <c r="U1" s="90" t="n"/>
      <c r="V1" s="90" t="n"/>
      <c r="W1" s="90" t="n"/>
      <c r="X1" s="90" t="n"/>
      <c r="Y1" s="90" t="n"/>
      <c r="Z1" s="90" t="n"/>
      <c r="AA1" s="90" t="n"/>
      <c r="AB1" s="90" t="n"/>
      <c r="AC1" s="90" t="n"/>
      <c r="AD1" s="90" t="n"/>
      <c r="AE1" s="90" t="n"/>
      <c r="AF1" s="90" t="n"/>
      <c r="AG1" s="90" t="n"/>
      <c r="AH1" s="90" t="n"/>
      <c r="AI1" s="90" t="n"/>
      <c r="AJ1" s="90" t="n"/>
      <c r="AK1" s="90" t="n"/>
    </row>
    <row r="2" customFormat="1" s="58">
      <c r="A2" s="90" t="n"/>
      <c r="B2" s="90" t="n"/>
      <c r="C2" s="91" t="inlineStr">
        <is>
          <t>2025</t>
        </is>
      </c>
      <c r="D2" s="91" t="inlineStr">
        <is>
          <t>2025</t>
        </is>
      </c>
      <c r="E2" s="91" t="inlineStr">
        <is>
          <t>2025</t>
        </is>
      </c>
      <c r="F2" s="91" t="inlineStr">
        <is>
          <t>2025</t>
        </is>
      </c>
      <c r="G2" s="91" t="inlineStr">
        <is>
          <t>2025</t>
        </is>
      </c>
      <c r="H2" s="91" t="inlineStr">
        <is>
          <t>2025</t>
        </is>
      </c>
      <c r="I2" s="90" t="n"/>
      <c r="J2" s="90" t="n"/>
      <c r="K2" s="91" t="inlineStr">
        <is>
          <t>2025</t>
        </is>
      </c>
      <c r="L2" s="91" t="inlineStr">
        <is>
          <t>2025</t>
        </is>
      </c>
      <c r="M2" s="91" t="inlineStr">
        <is>
          <t>2025</t>
        </is>
      </c>
      <c r="N2" s="91" t="inlineStr">
        <is>
          <t>2025</t>
        </is>
      </c>
      <c r="O2" s="91" t="inlineStr">
        <is>
          <t>2025</t>
        </is>
      </c>
      <c r="P2" s="91" t="inlineStr">
        <is>
          <t>2025</t>
        </is>
      </c>
      <c r="Q2" s="91" t="n"/>
      <c r="R2" s="91" t="n"/>
      <c r="S2" s="91" t="n"/>
      <c r="T2" s="91" t="n"/>
      <c r="U2" s="91" t="n"/>
      <c r="V2" s="91" t="n"/>
      <c r="W2" s="91" t="n"/>
      <c r="X2" s="91" t="n"/>
      <c r="Y2" s="91" t="n"/>
      <c r="Z2" s="91" t="n"/>
      <c r="AA2" s="91" t="n"/>
      <c r="AB2" s="91" t="n"/>
      <c r="AC2" s="91" t="n"/>
      <c r="AD2" s="91" t="n"/>
      <c r="AE2" s="91" t="n"/>
      <c r="AF2" s="91" t="n"/>
      <c r="AG2" s="91" t="n"/>
      <c r="AH2" s="91" t="n"/>
      <c r="AI2" s="91" t="n"/>
      <c r="AJ2" s="91" t="n"/>
      <c r="AK2" s="91" t="n"/>
    </row>
    <row r="3" customFormat="1" s="58">
      <c r="A3" s="90" t="n"/>
      <c r="B3" s="90" t="n"/>
      <c r="C3" s="90" t="n"/>
      <c r="D3" s="90" t="n"/>
      <c r="E3" s="90" t="n"/>
      <c r="F3" s="90" t="n"/>
      <c r="G3" s="90" t="n"/>
      <c r="H3" s="90" t="n"/>
      <c r="I3" s="90" t="n"/>
      <c r="J3" s="90" t="n"/>
      <c r="K3" s="90" t="n"/>
      <c r="L3" s="90" t="n"/>
      <c r="M3" s="90" t="n"/>
      <c r="N3" s="90" t="n"/>
      <c r="O3" s="90" t="n"/>
      <c r="P3" s="90" t="n"/>
      <c r="Q3" s="90" t="n"/>
      <c r="R3" s="90" t="n"/>
      <c r="S3" s="90" t="n"/>
      <c r="T3" s="90" t="n"/>
      <c r="U3" s="90" t="n"/>
      <c r="V3" s="90" t="n"/>
      <c r="W3" s="90" t="n"/>
      <c r="X3" s="90" t="n"/>
      <c r="Y3" s="90" t="n"/>
      <c r="Z3" s="90" t="n"/>
      <c r="AA3" s="90" t="n"/>
      <c r="AB3" s="90" t="n"/>
      <c r="AC3" s="90" t="n"/>
      <c r="AD3" s="90" t="n"/>
      <c r="AE3" s="90" t="n"/>
      <c r="AF3" s="90" t="n"/>
      <c r="AG3" s="90" t="n"/>
      <c r="AH3" s="90" t="n"/>
      <c r="AI3" s="90" t="n"/>
      <c r="AJ3" s="90" t="n"/>
      <c r="AK3" s="90" t="n"/>
    </row>
    <row r="4" customFormat="1" s="58">
      <c r="A4" s="90" t="n"/>
      <c r="B4" s="90" t="n"/>
      <c r="C4" s="90" t="inlineStr">
        <is>
          <t>CLIENTES EXTRANJERO NO GRUPO U</t>
        </is>
      </c>
      <c r="D4" s="90" t="inlineStr">
        <is>
          <t>CLIENTES EXTRANJERO NO GRUPO U</t>
        </is>
      </c>
      <c r="E4" s="90" t="inlineStr">
        <is>
          <t>CLIENTES EXTRANJERO NO GRUPO U</t>
        </is>
      </c>
      <c r="F4" s="90" t="inlineStr">
        <is>
          <t>CLIENTES EXTRANJERO NO GRUPO U</t>
        </is>
      </c>
      <c r="G4" s="90" t="inlineStr">
        <is>
          <t>CLIENTES EXTRANJERO NO GRUPO U</t>
        </is>
      </c>
      <c r="H4" s="90" t="inlineStr">
        <is>
          <t>CLIENTES EXTRANJERO NO GRUPO U</t>
        </is>
      </c>
      <c r="I4" s="90" t="n"/>
      <c r="J4" s="90" t="n"/>
      <c r="K4" s="90" t="inlineStr">
        <is>
          <t>CLIENTES EXTRANJERO NO GRUPO U</t>
        </is>
      </c>
      <c r="L4" s="90" t="inlineStr">
        <is>
          <t>CLIENTES EXTRANJERO NO GRUPO U</t>
        </is>
      </c>
      <c r="M4" s="90" t="inlineStr">
        <is>
          <t>CLIENTES EXTRANJERO NO GRUPO U</t>
        </is>
      </c>
      <c r="N4" s="90" t="inlineStr">
        <is>
          <t>CLIENTES EXTRANJERO NO GRUPO U</t>
        </is>
      </c>
      <c r="O4" s="90" t="inlineStr">
        <is>
          <t>CLIENTES EXTRANJERO NO GRUPO U</t>
        </is>
      </c>
      <c r="P4" s="90" t="inlineStr">
        <is>
          <t>CLIENTES EXTRANJERO NO GRUPO U</t>
        </is>
      </c>
      <c r="Q4" s="90" t="n"/>
      <c r="R4" s="90" t="n"/>
      <c r="S4" s="90" t="n"/>
      <c r="T4" s="90" t="n"/>
      <c r="U4" s="90" t="n"/>
      <c r="V4" s="90" t="n"/>
      <c r="W4" s="90" t="n"/>
      <c r="X4" s="90" t="n"/>
      <c r="Y4" s="90" t="n"/>
      <c r="Z4" s="90" t="n"/>
      <c r="AA4" s="90" t="n"/>
      <c r="AB4" s="90" t="n"/>
      <c r="AC4" s="90" t="n"/>
      <c r="AD4" s="90" t="n"/>
      <c r="AE4" s="90" t="n"/>
      <c r="AF4" s="90" t="n"/>
      <c r="AG4" s="90" t="n"/>
      <c r="AH4" s="90" t="n"/>
      <c r="AI4" s="90" t="n"/>
      <c r="AJ4" s="90" t="n"/>
      <c r="AK4" s="90" t="n"/>
    </row>
    <row r="5" customFormat="1" s="58">
      <c r="A5" s="90" t="n"/>
      <c r="B5" s="90" t="n"/>
      <c r="C5" s="90" t="inlineStr">
        <is>
          <t>MONEDA LOCAL</t>
        </is>
      </c>
      <c r="D5" s="90" t="inlineStr">
        <is>
          <t>MONEDA LOCAL</t>
        </is>
      </c>
      <c r="E5" s="90" t="inlineStr">
        <is>
          <t>MONEDA LOCAL</t>
        </is>
      </c>
      <c r="F5" s="90" t="inlineStr">
        <is>
          <t>MONEDA LOCAL</t>
        </is>
      </c>
      <c r="G5" s="90" t="inlineStr">
        <is>
          <t>MONEDA LOCAL</t>
        </is>
      </c>
      <c r="H5" s="90" t="inlineStr">
        <is>
          <t>MONEDA LOCAL</t>
        </is>
      </c>
      <c r="I5" s="90" t="n"/>
      <c r="J5" s="90" t="n"/>
      <c r="K5" s="90" t="inlineStr">
        <is>
          <t>Euros</t>
        </is>
      </c>
      <c r="L5" s="90" t="inlineStr">
        <is>
          <t>Euros</t>
        </is>
      </c>
      <c r="M5" s="90" t="inlineStr">
        <is>
          <t>Euros</t>
        </is>
      </c>
      <c r="N5" s="90" t="inlineStr">
        <is>
          <t>Euros</t>
        </is>
      </c>
      <c r="O5" s="90" t="inlineStr">
        <is>
          <t>Euros</t>
        </is>
      </c>
      <c r="P5" s="90" t="inlineStr">
        <is>
          <t>Euros</t>
        </is>
      </c>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row>
    <row r="6" customFormat="1" s="58">
      <c r="A6" s="90" t="n"/>
      <c r="B6" s="90" t="n"/>
      <c r="C6" s="90" t="inlineStr">
        <is>
          <t>Junio_ac</t>
        </is>
      </c>
      <c r="D6" s="90" t="inlineStr">
        <is>
          <t>Mayo_ac</t>
        </is>
      </c>
      <c r="E6" s="90" t="inlineStr">
        <is>
          <t>Abril_ac</t>
        </is>
      </c>
      <c r="F6" s="90" t="inlineStr">
        <is>
          <t>Marzo_ac</t>
        </is>
      </c>
      <c r="G6" s="90" t="inlineStr">
        <is>
          <t>Febrero_ac</t>
        </is>
      </c>
      <c r="H6" s="90" t="inlineStr">
        <is>
          <t>Enero_ac</t>
        </is>
      </c>
      <c r="I6" s="90" t="n"/>
      <c r="J6" s="90" t="n"/>
      <c r="K6" s="90" t="inlineStr">
        <is>
          <t>Junio_ac</t>
        </is>
      </c>
      <c r="L6" s="90" t="inlineStr">
        <is>
          <t>Mayo_ac</t>
        </is>
      </c>
      <c r="M6" s="90" t="inlineStr">
        <is>
          <t>Abril_ac</t>
        </is>
      </c>
      <c r="N6" s="90" t="inlineStr">
        <is>
          <t>Marzo_ac</t>
        </is>
      </c>
      <c r="O6" s="90" t="inlineStr">
        <is>
          <t>Febrero_ac</t>
        </is>
      </c>
      <c r="P6" s="90" t="inlineStr">
        <is>
          <t>Enero_ac</t>
        </is>
      </c>
      <c r="Q6" s="90" t="n"/>
      <c r="R6" s="90" t="n"/>
      <c r="S6" s="90" t="n"/>
      <c r="T6" s="90" t="n"/>
      <c r="U6" s="90" t="n"/>
      <c r="V6" s="90" t="n"/>
      <c r="W6" s="90" t="n"/>
      <c r="X6" s="90" t="n"/>
      <c r="Y6" s="90" t="n"/>
      <c r="Z6" s="90" t="n"/>
      <c r="AA6" s="90" t="n"/>
      <c r="AB6" s="90" t="n"/>
      <c r="AC6" s="90" t="n"/>
      <c r="AD6" s="90" t="n"/>
      <c r="AE6" s="90" t="n"/>
      <c r="AF6" s="90" t="n"/>
      <c r="AG6" s="90" t="n"/>
      <c r="AH6" s="90" t="n"/>
      <c r="AI6" s="90" t="n"/>
      <c r="AJ6" s="90" t="n"/>
      <c r="AK6" s="90" t="n"/>
    </row>
    <row r="7" customFormat="1" s="58">
      <c r="A7" s="90" t="n"/>
      <c r="B7" s="90" t="n"/>
      <c r="C7" s="233" t="inlineStr">
        <is>
          <t>Real</t>
        </is>
      </c>
      <c r="D7" s="233" t="inlineStr">
        <is>
          <t>Real</t>
        </is>
      </c>
      <c r="E7" s="233" t="inlineStr">
        <is>
          <t>Real</t>
        </is>
      </c>
      <c r="F7" s="233" t="inlineStr">
        <is>
          <t>Real</t>
        </is>
      </c>
      <c r="G7" s="233" t="inlineStr">
        <is>
          <t>Real</t>
        </is>
      </c>
      <c r="H7" s="233" t="inlineStr">
        <is>
          <t>Real</t>
        </is>
      </c>
      <c r="I7" s="233" t="n"/>
      <c r="J7" s="233" t="n"/>
      <c r="K7" s="233" t="inlineStr">
        <is>
          <t>Real</t>
        </is>
      </c>
      <c r="L7" s="233" t="inlineStr">
        <is>
          <t>Real</t>
        </is>
      </c>
      <c r="M7" s="233" t="inlineStr">
        <is>
          <t>Real</t>
        </is>
      </c>
      <c r="N7" s="233" t="inlineStr">
        <is>
          <t>Real</t>
        </is>
      </c>
      <c r="O7" s="233" t="inlineStr">
        <is>
          <t>Real</t>
        </is>
      </c>
      <c r="P7" s="233" t="inlineStr">
        <is>
          <t>Real</t>
        </is>
      </c>
      <c r="Q7" s="90" t="n"/>
      <c r="R7" s="90" t="n"/>
      <c r="S7" s="90" t="n"/>
      <c r="T7" s="90" t="n"/>
      <c r="U7" s="90" t="n"/>
      <c r="V7" s="90" t="n"/>
      <c r="W7" s="90" t="n"/>
      <c r="X7" s="90" t="n"/>
      <c r="Y7" s="90" t="n"/>
      <c r="Z7" s="90" t="n"/>
      <c r="AA7" s="90" t="n"/>
      <c r="AB7" s="90" t="n"/>
      <c r="AC7" s="90" t="n"/>
      <c r="AD7" s="90" t="n"/>
      <c r="AE7" s="90" t="n"/>
      <c r="AF7" s="90" t="n"/>
      <c r="AG7" s="90" t="n"/>
      <c r="AH7" s="90" t="n"/>
      <c r="AI7" s="90" t="n"/>
      <c r="AJ7" s="90" t="n"/>
      <c r="AK7" s="90" t="n"/>
    </row>
    <row r="8" customFormat="1" s="268">
      <c r="A8" s="76" t="inlineStr">
        <is>
          <t>ICESP</t>
        </is>
      </c>
      <c r="B8" s="76" t="inlineStr">
        <is>
          <t>Interco ESPAÑA</t>
        </is>
      </c>
      <c r="C8" s="228" t="n">
        <v>0</v>
      </c>
      <c r="D8" s="228" t="n">
        <v>0</v>
      </c>
      <c r="E8" s="228" t="n">
        <v>0</v>
      </c>
      <c r="F8" s="228" t="n">
        <v>0</v>
      </c>
      <c r="G8" s="228" t="n">
        <v>0</v>
      </c>
      <c r="H8" s="228" t="n">
        <v>0</v>
      </c>
      <c r="I8" s="228" t="n"/>
      <c r="J8" s="228" t="n"/>
      <c r="K8" s="228" t="n">
        <v>0</v>
      </c>
      <c r="L8" s="228" t="n">
        <v>0</v>
      </c>
      <c r="M8" s="228" t="n">
        <v>0</v>
      </c>
      <c r="N8" s="228" t="n">
        <v>0</v>
      </c>
      <c r="O8" s="228" t="n">
        <v>0</v>
      </c>
      <c r="P8" s="228" t="n">
        <v>0</v>
      </c>
      <c r="Q8" s="228" t="n"/>
      <c r="R8" s="228" t="n"/>
      <c r="S8" s="228" t="n"/>
      <c r="T8" s="228" t="n"/>
      <c r="U8" s="228" t="n"/>
      <c r="V8" s="228" t="n"/>
      <c r="W8" s="228" t="n"/>
      <c r="X8" s="228" t="n"/>
      <c r="Y8" s="228" t="n"/>
      <c r="Z8" s="228" t="n"/>
      <c r="AA8" s="228" t="n"/>
      <c r="AB8" s="228" t="n"/>
      <c r="AC8" s="228" t="n"/>
      <c r="AD8" s="228" t="n"/>
      <c r="AE8" s="228" t="n"/>
      <c r="AF8" s="228" t="n"/>
      <c r="AG8" s="228" t="n"/>
      <c r="AH8" s="258" t="n"/>
      <c r="AI8" s="258" t="n"/>
      <c r="AJ8" s="258" t="n"/>
      <c r="AK8" s="258" t="n"/>
    </row>
    <row r="9" customFormat="1" s="268">
      <c r="A9" s="76" t="inlineStr">
        <is>
          <t>ICBRASIL</t>
        </is>
      </c>
      <c r="B9" s="76" t="inlineStr">
        <is>
          <t>Interco BRASIL</t>
        </is>
      </c>
      <c r="C9" s="228" t="n">
        <v>0</v>
      </c>
      <c r="D9" s="228" t="n">
        <v>0</v>
      </c>
      <c r="E9" s="228" t="n">
        <v>0</v>
      </c>
      <c r="F9" s="228" t="n">
        <v>0</v>
      </c>
      <c r="G9" s="228" t="n">
        <v>0</v>
      </c>
      <c r="H9" s="228" t="n">
        <v>0</v>
      </c>
      <c r="I9" s="228" t="n"/>
      <c r="J9" s="228" t="n"/>
      <c r="K9" s="228" t="n">
        <v>0</v>
      </c>
      <c r="L9" s="228" t="n">
        <v>0</v>
      </c>
      <c r="M9" s="228" t="n">
        <v>0</v>
      </c>
      <c r="N9" s="228" t="n">
        <v>0</v>
      </c>
      <c r="O9" s="228" t="n">
        <v>0</v>
      </c>
      <c r="P9" s="228" t="n">
        <v>0</v>
      </c>
      <c r="Q9" s="228" t="n"/>
      <c r="R9" s="228" t="n"/>
      <c r="S9" s="228" t="n"/>
      <c r="T9" s="228" t="n"/>
      <c r="U9" s="228" t="n"/>
      <c r="V9" s="228" t="n"/>
      <c r="W9" s="228" t="n"/>
      <c r="X9" s="228" t="n"/>
      <c r="Y9" s="228" t="n"/>
      <c r="Z9" s="228" t="n"/>
      <c r="AA9" s="228" t="n"/>
      <c r="AB9" s="228" t="n"/>
      <c r="AC9" s="228" t="n"/>
      <c r="AD9" s="228" t="n"/>
      <c r="AE9" s="228" t="n"/>
      <c r="AF9" s="228" t="n"/>
      <c r="AG9" s="228" t="n"/>
      <c r="AH9" s="258" t="n"/>
      <c r="AI9" s="258" t="n"/>
      <c r="AJ9" s="258" t="n"/>
      <c r="AK9" s="258" t="n"/>
    </row>
    <row r="10" customFormat="1" s="268">
      <c r="A10" s="120" t="inlineStr">
        <is>
          <t>IC00080</t>
        </is>
      </c>
      <c r="B10" s="76" t="inlineStr">
        <is>
          <t>Editorial Planeta Colombiana, S.A.</t>
        </is>
      </c>
      <c r="C10" s="228" t="n">
        <v>0</v>
      </c>
      <c r="D10" s="228" t="n">
        <v>0</v>
      </c>
      <c r="E10" s="228" t="n">
        <v>0</v>
      </c>
      <c r="F10" s="228" t="n">
        <v>0</v>
      </c>
      <c r="G10" s="228" t="n">
        <v>0</v>
      </c>
      <c r="H10" s="228" t="n">
        <v>0</v>
      </c>
      <c r="I10" s="228" t="n"/>
      <c r="J10" s="228" t="n"/>
      <c r="K10" s="228" t="n">
        <v>0</v>
      </c>
      <c r="L10" s="228" t="n">
        <v>0</v>
      </c>
      <c r="M10" s="228" t="n">
        <v>0</v>
      </c>
      <c r="N10" s="228" t="n">
        <v>0</v>
      </c>
      <c r="O10" s="228" t="n">
        <v>0</v>
      </c>
      <c r="P10" s="228" t="n">
        <v>0</v>
      </c>
      <c r="Q10" s="228" t="n"/>
      <c r="R10" s="228" t="n"/>
      <c r="S10" s="228" t="n"/>
      <c r="T10" s="228" t="n"/>
      <c r="U10" s="228" t="n"/>
      <c r="V10" s="228" t="n"/>
      <c r="W10" s="228" t="n"/>
      <c r="X10" s="228" t="n"/>
      <c r="Y10" s="228" t="n"/>
      <c r="Z10" s="228" t="n"/>
      <c r="AA10" s="228" t="n"/>
      <c r="AB10" s="228" t="n"/>
      <c r="AC10" s="228" t="n"/>
      <c r="AD10" s="228" t="n"/>
      <c r="AE10" s="228" t="n"/>
      <c r="AF10" s="228" t="n"/>
      <c r="AG10" s="228" t="n"/>
      <c r="AH10" s="258" t="n"/>
      <c r="AI10" s="258" t="n"/>
      <c r="AJ10" s="258" t="n"/>
      <c r="AK10" s="258" t="n"/>
    </row>
    <row r="11" customFormat="1" s="268">
      <c r="A11" s="120" t="inlineStr">
        <is>
          <t>IC00576</t>
        </is>
      </c>
      <c r="B11" s="76" t="inlineStr">
        <is>
          <t>Ediciones Planeta Colombia</t>
        </is>
      </c>
      <c r="C11" s="228" t="n">
        <v>0</v>
      </c>
      <c r="D11" s="228" t="n">
        <v>0</v>
      </c>
      <c r="E11" s="228" t="n">
        <v>0</v>
      </c>
      <c r="F11" s="228" t="n">
        <v>0</v>
      </c>
      <c r="G11" s="228" t="n">
        <v>0</v>
      </c>
      <c r="H11" s="228" t="n">
        <v>0</v>
      </c>
      <c r="I11" s="228" t="n"/>
      <c r="J11" s="228" t="n"/>
      <c r="K11" s="228" t="n">
        <v>0</v>
      </c>
      <c r="L11" s="228" t="n">
        <v>0</v>
      </c>
      <c r="M11" s="228" t="n">
        <v>0</v>
      </c>
      <c r="N11" s="228" t="n">
        <v>0</v>
      </c>
      <c r="O11" s="228" t="n">
        <v>0</v>
      </c>
      <c r="P11" s="228" t="n">
        <v>0</v>
      </c>
      <c r="Q11" s="228" t="n"/>
      <c r="R11" s="228" t="n"/>
      <c r="S11" s="228" t="n"/>
      <c r="T11" s="228" t="n"/>
      <c r="U11" s="228" t="n"/>
      <c r="V11" s="228" t="n"/>
      <c r="W11" s="228" t="n"/>
      <c r="X11" s="228" t="n"/>
      <c r="Y11" s="228" t="n"/>
      <c r="Z11" s="228" t="n"/>
      <c r="AA11" s="228" t="n"/>
      <c r="AB11" s="228" t="n"/>
      <c r="AC11" s="228" t="n"/>
      <c r="AD11" s="228" t="n"/>
      <c r="AE11" s="228" t="n"/>
      <c r="AF11" s="228" t="n"/>
      <c r="AG11" s="228" t="n"/>
      <c r="AH11" s="258" t="n"/>
      <c r="AI11" s="258" t="n"/>
      <c r="AJ11" s="258" t="n"/>
      <c r="AK11" s="258" t="n"/>
    </row>
    <row r="12" customFormat="1" s="268">
      <c r="A12" s="120" t="inlineStr">
        <is>
          <t>IC00577</t>
        </is>
      </c>
      <c r="B12" s="76" t="inlineStr">
        <is>
          <t>Editorial Planeta Perú, S.A.</t>
        </is>
      </c>
      <c r="C12" s="228" t="n">
        <v>0</v>
      </c>
      <c r="D12" s="228" t="n">
        <v>0</v>
      </c>
      <c r="E12" s="228" t="n">
        <v>0</v>
      </c>
      <c r="F12" s="228" t="n">
        <v>0</v>
      </c>
      <c r="G12" s="228" t="n">
        <v>0</v>
      </c>
      <c r="H12" s="228" t="n">
        <v>0</v>
      </c>
      <c r="I12" s="228" t="n"/>
      <c r="J12" s="228" t="n"/>
      <c r="K12" s="228" t="n">
        <v>0</v>
      </c>
      <c r="L12" s="228" t="n">
        <v>0</v>
      </c>
      <c r="M12" s="228" t="n">
        <v>0</v>
      </c>
      <c r="N12" s="228" t="n">
        <v>0</v>
      </c>
      <c r="O12" s="228" t="n">
        <v>0</v>
      </c>
      <c r="P12" s="228" t="n">
        <v>0</v>
      </c>
      <c r="Q12" s="228" t="n"/>
      <c r="R12" s="228" t="n"/>
      <c r="S12" s="228" t="n"/>
      <c r="T12" s="228" t="n"/>
      <c r="U12" s="228" t="n"/>
      <c r="V12" s="228" t="n"/>
      <c r="W12" s="228" t="n"/>
      <c r="X12" s="228" t="n"/>
      <c r="Y12" s="228" t="n"/>
      <c r="Z12" s="228" t="n"/>
      <c r="AA12" s="228" t="n"/>
      <c r="AB12" s="228" t="n"/>
      <c r="AC12" s="228" t="n"/>
      <c r="AD12" s="228" t="n"/>
      <c r="AE12" s="228" t="n"/>
      <c r="AF12" s="228" t="n"/>
      <c r="AG12" s="228" t="n"/>
      <c r="AH12" s="258" t="n"/>
      <c r="AI12" s="258" t="n"/>
      <c r="AJ12" s="258" t="n"/>
      <c r="AK12" s="258" t="n"/>
    </row>
    <row r="13" customFormat="1" s="268">
      <c r="A13" s="120" t="inlineStr">
        <is>
          <t>IC00580</t>
        </is>
      </c>
      <c r="B13" s="76" t="inlineStr">
        <is>
          <t>Editorial Planeta Venezolana, S.A.</t>
        </is>
      </c>
      <c r="C13" s="228" t="n">
        <v>-3047986.835</v>
      </c>
      <c r="D13" s="228" t="n">
        <v>-3107191.478</v>
      </c>
      <c r="E13" s="228" t="n">
        <v>-3144721.454</v>
      </c>
      <c r="F13" s="228" t="n">
        <v>-3140033.016</v>
      </c>
      <c r="G13" s="228" t="n">
        <v>-3085763.966</v>
      </c>
      <c r="H13" s="228" t="n">
        <v>-3123136.662</v>
      </c>
      <c r="I13" s="228" t="n"/>
      <c r="J13" s="228" t="n"/>
      <c r="K13" s="228" t="n">
        <v>-637.9436400000002</v>
      </c>
      <c r="L13" s="228" t="n">
        <v>-659.6567500000002</v>
      </c>
      <c r="M13" s="228" t="n">
        <v>-658.8191400000002</v>
      </c>
      <c r="N13" s="228" t="n">
        <v>-693.3192900000001</v>
      </c>
      <c r="O13" s="228" t="n">
        <v>-720.2173100000001</v>
      </c>
      <c r="P13" s="228" t="n">
        <v>-720.5076300000001</v>
      </c>
      <c r="Q13" s="228" t="n"/>
      <c r="R13" s="228" t="n"/>
      <c r="S13" s="228" t="n"/>
      <c r="T13" s="228" t="n"/>
      <c r="U13" s="228" t="n"/>
      <c r="V13" s="228" t="n"/>
      <c r="W13" s="228" t="n"/>
      <c r="X13" s="228" t="n"/>
      <c r="Y13" s="228" t="n"/>
      <c r="Z13" s="228" t="n"/>
      <c r="AA13" s="228" t="n"/>
      <c r="AB13" s="228" t="n"/>
      <c r="AC13" s="228" t="n"/>
      <c r="AD13" s="228" t="n"/>
      <c r="AE13" s="228" t="n"/>
      <c r="AF13" s="228" t="n"/>
      <c r="AG13" s="228" t="n"/>
      <c r="AH13" s="258" t="n"/>
      <c r="AI13" s="258" t="n"/>
      <c r="AJ13" s="258" t="n"/>
      <c r="AK13" s="258" t="n"/>
    </row>
    <row r="14" customFormat="1" s="268">
      <c r="A14" s="120" t="inlineStr">
        <is>
          <t>IC00640</t>
        </is>
      </c>
      <c r="B14" s="76" t="inlineStr">
        <is>
          <t>Editorial Planeta Ecuador, S.A.</t>
        </is>
      </c>
      <c r="C14" s="228" t="n">
        <v>0</v>
      </c>
      <c r="D14" s="228" t="n">
        <v>0</v>
      </c>
      <c r="E14" s="228" t="n">
        <v>0</v>
      </c>
      <c r="F14" s="228" t="n">
        <v>0</v>
      </c>
      <c r="G14" s="228" t="n">
        <v>0</v>
      </c>
      <c r="H14" s="228" t="n">
        <v>0</v>
      </c>
      <c r="I14" s="228" t="n"/>
      <c r="J14" s="228" t="n"/>
      <c r="K14" s="228" t="n">
        <v>0</v>
      </c>
      <c r="L14" s="228" t="n">
        <v>0</v>
      </c>
      <c r="M14" s="228" t="n">
        <v>0</v>
      </c>
      <c r="N14" s="228" t="n">
        <v>0</v>
      </c>
      <c r="O14" s="228" t="n">
        <v>0</v>
      </c>
      <c r="P14" s="228" t="n">
        <v>0</v>
      </c>
      <c r="Q14" s="228" t="n"/>
      <c r="R14" s="228" t="n"/>
      <c r="S14" s="228" t="n"/>
      <c r="T14" s="228" t="n"/>
      <c r="U14" s="228" t="n"/>
      <c r="V14" s="228" t="n"/>
      <c r="W14" s="228" t="n"/>
      <c r="X14" s="228" t="n"/>
      <c r="Y14" s="228" t="n"/>
      <c r="Z14" s="228" t="n"/>
      <c r="AA14" s="228" t="n"/>
      <c r="AB14" s="228" t="n"/>
      <c r="AC14" s="228" t="n"/>
      <c r="AD14" s="228" t="n"/>
      <c r="AE14" s="228" t="n"/>
      <c r="AF14" s="228" t="n"/>
      <c r="AG14" s="228" t="n"/>
      <c r="AH14" s="228" t="n"/>
      <c r="AI14" s="258" t="n"/>
      <c r="AJ14" s="258" t="n"/>
      <c r="AK14" s="258" t="n"/>
    </row>
    <row r="15" ht="16.5" customFormat="1" customHeight="1" s="268">
      <c r="A15" s="120" t="inlineStr">
        <is>
          <t>IC00393</t>
        </is>
      </c>
      <c r="B15" s="76" t="inlineStr">
        <is>
          <t>Planeta Deagostini Formación Colombiana, S.A.</t>
        </is>
      </c>
      <c r="C15" s="228" t="n">
        <v>0</v>
      </c>
      <c r="D15" s="228" t="n">
        <v>0</v>
      </c>
      <c r="E15" s="228" t="n">
        <v>0</v>
      </c>
      <c r="F15" s="228" t="n">
        <v>0</v>
      </c>
      <c r="G15" s="228" t="n">
        <v>0</v>
      </c>
      <c r="H15" s="228" t="n">
        <v>0</v>
      </c>
      <c r="I15" s="228" t="n"/>
      <c r="J15" s="228" t="n"/>
      <c r="K15" s="228" t="n">
        <v>0</v>
      </c>
      <c r="L15" s="228" t="n">
        <v>0</v>
      </c>
      <c r="M15" s="228" t="n">
        <v>0</v>
      </c>
      <c r="N15" s="228" t="n">
        <v>0</v>
      </c>
      <c r="O15" s="228" t="n">
        <v>0</v>
      </c>
      <c r="P15" s="228" t="n">
        <v>0</v>
      </c>
      <c r="Q15" s="228" t="n"/>
      <c r="R15" s="228" t="n"/>
      <c r="S15" s="228" t="n"/>
      <c r="T15" s="228" t="n"/>
      <c r="U15" s="228" t="n"/>
      <c r="V15" s="228" t="n"/>
      <c r="W15" s="228" t="n"/>
      <c r="X15" s="228" t="n"/>
      <c r="Y15" s="228" t="n"/>
      <c r="Z15" s="228" t="n"/>
      <c r="AA15" s="228" t="n"/>
      <c r="AB15" s="228" t="n"/>
      <c r="AC15" s="228" t="n"/>
      <c r="AD15" s="228" t="n"/>
      <c r="AE15" s="228" t="n"/>
      <c r="AF15" s="228" t="n"/>
      <c r="AG15" s="228" t="n"/>
      <c r="AH15" s="228" t="n"/>
      <c r="AI15" s="258" t="n"/>
      <c r="AJ15" s="258" t="n"/>
      <c r="AK15" s="258" t="n"/>
    </row>
    <row r="16" customFormat="1" s="268">
      <c r="A16" s="120" t="inlineStr">
        <is>
          <t>IC00392</t>
        </is>
      </c>
      <c r="B16" s="76" t="inlineStr">
        <is>
          <t>Planeta Deagostini Formación Perú, S.A.</t>
        </is>
      </c>
      <c r="C16" s="228" t="n">
        <v>0</v>
      </c>
      <c r="D16" s="228" t="n">
        <v>0</v>
      </c>
      <c r="E16" s="228" t="n">
        <v>0</v>
      </c>
      <c r="F16" s="228" t="n">
        <v>0</v>
      </c>
      <c r="G16" s="228" t="n">
        <v>0</v>
      </c>
      <c r="H16" s="228" t="n">
        <v>0</v>
      </c>
      <c r="I16" s="228" t="n"/>
      <c r="J16" s="228" t="n"/>
      <c r="K16" s="228" t="n">
        <v>0</v>
      </c>
      <c r="L16" s="228" t="n">
        <v>0</v>
      </c>
      <c r="M16" s="228" t="n">
        <v>0</v>
      </c>
      <c r="N16" s="228" t="n">
        <v>0</v>
      </c>
      <c r="O16" s="228" t="n">
        <v>0</v>
      </c>
      <c r="P16" s="228" t="n">
        <v>0</v>
      </c>
      <c r="Q16" s="228" t="n"/>
      <c r="R16" s="228" t="n"/>
      <c r="S16" s="228" t="n"/>
      <c r="T16" s="228" t="n"/>
      <c r="U16" s="228" t="n"/>
      <c r="V16" s="228" t="n"/>
      <c r="W16" s="228" t="n"/>
      <c r="X16" s="228" t="n"/>
      <c r="Y16" s="228" t="n"/>
      <c r="Z16" s="228" t="n"/>
      <c r="AA16" s="228" t="n"/>
      <c r="AB16" s="228" t="n"/>
      <c r="AC16" s="228" t="n"/>
      <c r="AD16" s="228" t="n"/>
      <c r="AE16" s="228" t="n"/>
      <c r="AF16" s="228" t="n"/>
      <c r="AG16" s="228" t="n"/>
      <c r="AH16" s="228" t="n"/>
      <c r="AI16" s="258" t="n"/>
      <c r="AJ16" s="258" t="n"/>
      <c r="AK16" s="258" t="n"/>
    </row>
    <row r="17" customFormat="1" s="268">
      <c r="A17" s="76" t="inlineStr">
        <is>
          <t>ICANDINO</t>
        </is>
      </c>
      <c r="B17" s="76" t="inlineStr">
        <is>
          <t>Interco ANDINO</t>
        </is>
      </c>
      <c r="C17" s="228" t="n">
        <v>-3047986.835</v>
      </c>
      <c r="D17" s="228" t="n">
        <v>-3107191.478</v>
      </c>
      <c r="E17" s="228" t="n">
        <v>-3144721.454</v>
      </c>
      <c r="F17" s="228" t="n">
        <v>-3140033.016</v>
      </c>
      <c r="G17" s="228" t="n">
        <v>-3085763.966</v>
      </c>
      <c r="H17" s="228" t="n">
        <v>-3123136.662</v>
      </c>
      <c r="I17" s="228" t="n"/>
      <c r="J17" s="228" t="n"/>
      <c r="K17" s="228" t="n">
        <v>-637.9436400000002</v>
      </c>
      <c r="L17" s="228" t="n">
        <v>-659.6567500000002</v>
      </c>
      <c r="M17" s="228" t="n">
        <v>-658.8191400000002</v>
      </c>
      <c r="N17" s="228" t="n">
        <v>-693.3192900000001</v>
      </c>
      <c r="O17" s="228" t="n">
        <v>-720.2173100000001</v>
      </c>
      <c r="P17" s="228" t="n">
        <v>-720.5076300000001</v>
      </c>
      <c r="Q17" s="228" t="n"/>
      <c r="R17" s="228" t="n"/>
      <c r="S17" s="228" t="n"/>
      <c r="T17" s="228" t="n"/>
      <c r="U17" s="228" t="n"/>
      <c r="V17" s="228" t="n"/>
      <c r="W17" s="228" t="n"/>
      <c r="X17" s="228" t="n"/>
      <c r="Y17" s="228" t="n"/>
      <c r="Z17" s="228" t="n"/>
      <c r="AA17" s="228" t="n"/>
      <c r="AB17" s="228" t="n"/>
      <c r="AC17" s="228" t="n"/>
      <c r="AD17" s="228" t="n"/>
      <c r="AE17" s="228" t="n"/>
      <c r="AF17" s="228" t="n"/>
      <c r="AG17" s="228" t="n"/>
      <c r="AH17" s="228" t="n"/>
      <c r="AI17" s="258" t="n"/>
      <c r="AJ17" s="258" t="n"/>
      <c r="AK17" s="258" t="n"/>
    </row>
    <row r="18" customFormat="1" s="268">
      <c r="A18" s="76" t="inlineStr">
        <is>
          <t>ICSUR</t>
        </is>
      </c>
      <c r="B18" s="76" t="inlineStr">
        <is>
          <t>Interco SUR</t>
        </is>
      </c>
      <c r="C18" s="228" t="n">
        <v>0</v>
      </c>
      <c r="D18" s="228" t="n">
        <v>0</v>
      </c>
      <c r="E18" s="228" t="n">
        <v>0</v>
      </c>
      <c r="F18" s="228" t="n">
        <v>0</v>
      </c>
      <c r="G18" s="228" t="n">
        <v>0</v>
      </c>
      <c r="H18" s="228" t="n">
        <v>0</v>
      </c>
      <c r="I18" s="228" t="n"/>
      <c r="J18" s="228" t="n"/>
      <c r="K18" s="228" t="n">
        <v>0</v>
      </c>
      <c r="L18" s="228" t="n">
        <v>0</v>
      </c>
      <c r="M18" s="228" t="n">
        <v>0</v>
      </c>
      <c r="N18" s="228" t="n">
        <v>0</v>
      </c>
      <c r="O18" s="228" t="n">
        <v>0</v>
      </c>
      <c r="P18" s="228" t="n">
        <v>0</v>
      </c>
      <c r="Q18" s="228" t="n"/>
      <c r="R18" s="228" t="n"/>
      <c r="S18" s="228" t="n"/>
      <c r="T18" s="228" t="n"/>
      <c r="U18" s="228" t="n"/>
      <c r="V18" s="228" t="n"/>
      <c r="W18" s="228" t="n"/>
      <c r="X18" s="228" t="n"/>
      <c r="Y18" s="228" t="n"/>
      <c r="Z18" s="228" t="n"/>
      <c r="AA18" s="228" t="n"/>
      <c r="AB18" s="228" t="n"/>
      <c r="AC18" s="228" t="n"/>
      <c r="AD18" s="228" t="n"/>
      <c r="AE18" s="228" t="n"/>
      <c r="AF18" s="228" t="n"/>
      <c r="AG18" s="228" t="n"/>
      <c r="AH18" s="228" t="n"/>
      <c r="AI18" s="258" t="n"/>
      <c r="AJ18" s="258" t="n"/>
      <c r="AK18" s="258" t="n"/>
    </row>
    <row r="19" customFormat="1" s="269">
      <c r="A19" s="76" t="inlineStr">
        <is>
          <t>ICMEXICO</t>
        </is>
      </c>
      <c r="B19" s="76" t="inlineStr">
        <is>
          <t>Interco MEXICO</t>
        </is>
      </c>
      <c r="C19" s="228" t="n">
        <v>0</v>
      </c>
      <c r="D19" s="228" t="n">
        <v>0</v>
      </c>
      <c r="E19" s="228" t="n">
        <v>0</v>
      </c>
      <c r="F19" s="228" t="n">
        <v>0</v>
      </c>
      <c r="G19" s="228" t="n">
        <v>0</v>
      </c>
      <c r="H19" s="228" t="n">
        <v>0</v>
      </c>
      <c r="I19" s="228" t="n"/>
      <c r="J19" s="228" t="n"/>
      <c r="K19" s="228" t="n">
        <v>0</v>
      </c>
      <c r="L19" s="228" t="n">
        <v>0</v>
      </c>
      <c r="M19" s="228" t="n">
        <v>0</v>
      </c>
      <c r="N19" s="228" t="n">
        <v>0</v>
      </c>
      <c r="O19" s="228" t="n">
        <v>0</v>
      </c>
      <c r="P19" s="228" t="n">
        <v>0</v>
      </c>
      <c r="Q19" s="228" t="n"/>
      <c r="R19" s="228" t="n"/>
      <c r="S19" s="228" t="n"/>
      <c r="T19" s="228" t="n"/>
      <c r="U19" s="228" t="n"/>
      <c r="V19" s="228" t="n"/>
      <c r="W19" s="228" t="n"/>
      <c r="X19" s="228" t="n"/>
      <c r="Y19" s="228" t="n"/>
      <c r="Z19" s="228" t="n"/>
      <c r="AA19" s="228" t="n"/>
      <c r="AB19" s="228" t="n"/>
      <c r="AC19" s="228" t="n"/>
      <c r="AD19" s="228" t="n"/>
      <c r="AE19" s="228" t="n"/>
      <c r="AF19" s="233" t="n"/>
      <c r="AG19" s="233" t="n"/>
      <c r="AH19" s="233" t="n"/>
      <c r="AI19" s="257" t="n"/>
      <c r="AJ19" s="257" t="n"/>
      <c r="AK19" s="257" t="n"/>
    </row>
    <row r="20" customFormat="1" s="268">
      <c r="A20" s="76" t="inlineStr">
        <is>
          <t>ICOTRLAT</t>
        </is>
      </c>
      <c r="B20" s="76" t="inlineStr">
        <is>
          <t>Interco OTROS LATAM</t>
        </is>
      </c>
      <c r="C20" s="228" t="n">
        <v>0</v>
      </c>
      <c r="D20" s="228" t="n">
        <v>0</v>
      </c>
      <c r="E20" s="228" t="n">
        <v>0</v>
      </c>
      <c r="F20" s="228" t="n">
        <v>0</v>
      </c>
      <c r="G20" s="228" t="n">
        <v>0</v>
      </c>
      <c r="H20" s="228" t="n">
        <v>0</v>
      </c>
      <c r="I20" s="228" t="n"/>
      <c r="J20" s="228" t="n"/>
      <c r="K20" s="228" t="n">
        <v>0</v>
      </c>
      <c r="L20" s="228" t="n">
        <v>0</v>
      </c>
      <c r="M20" s="228" t="n">
        <v>0</v>
      </c>
      <c r="N20" s="228" t="n">
        <v>0</v>
      </c>
      <c r="O20" s="228" t="n">
        <v>0</v>
      </c>
      <c r="P20" s="228" t="n">
        <v>0</v>
      </c>
      <c r="Q20" s="228" t="n"/>
      <c r="R20" s="228" t="n"/>
      <c r="S20" s="228" t="n"/>
      <c r="T20" s="228" t="n"/>
      <c r="U20" s="228" t="n"/>
      <c r="V20" s="228" t="n"/>
      <c r="W20" s="228" t="n"/>
      <c r="X20" s="228" t="n"/>
      <c r="Y20" s="228" t="n"/>
      <c r="Z20" s="228" t="n"/>
      <c r="AA20" s="228" t="n"/>
      <c r="AB20" s="228" t="n"/>
      <c r="AC20" s="228" t="n"/>
      <c r="AD20" s="228" t="n"/>
      <c r="AE20" s="228" t="n"/>
      <c r="AF20" s="228" t="n"/>
      <c r="AG20" s="228" t="n"/>
      <c r="AH20" s="228" t="n"/>
      <c r="AI20" s="258" t="n"/>
      <c r="AJ20" s="258" t="n"/>
      <c r="AK20" s="258" t="n"/>
    </row>
    <row r="21" customFormat="1" s="270">
      <c r="A21" s="76" t="inlineStr">
        <is>
          <t>ICLAT</t>
        </is>
      </c>
      <c r="B21" s="76" t="inlineStr">
        <is>
          <t>Interco LATAM</t>
        </is>
      </c>
      <c r="C21" s="228" t="n">
        <v>-3047986.835</v>
      </c>
      <c r="D21" s="228" t="n">
        <v>-3107191.478</v>
      </c>
      <c r="E21" s="228" t="n">
        <v>-3144721.454</v>
      </c>
      <c r="F21" s="228" t="n">
        <v>-3140033.016</v>
      </c>
      <c r="G21" s="228" t="n">
        <v>-3085763.966</v>
      </c>
      <c r="H21" s="228" t="n">
        <v>-3123136.662</v>
      </c>
      <c r="I21" s="228" t="n"/>
      <c r="J21" s="228" t="n"/>
      <c r="K21" s="228" t="n">
        <v>-637.9436400000002</v>
      </c>
      <c r="L21" s="228" t="n">
        <v>-659.6567500000002</v>
      </c>
      <c r="M21" s="228" t="n">
        <v>-658.8191400000002</v>
      </c>
      <c r="N21" s="228" t="n">
        <v>-693.3192900000001</v>
      </c>
      <c r="O21" s="228" t="n">
        <v>-720.2173100000001</v>
      </c>
      <c r="P21" s="228" t="n">
        <v>-720.5076300000001</v>
      </c>
      <c r="Q21" s="228" t="n"/>
      <c r="R21" s="228" t="n"/>
      <c r="S21" s="228" t="n"/>
      <c r="T21" s="228" t="n"/>
      <c r="U21" s="228" t="n"/>
      <c r="V21" s="228" t="n"/>
      <c r="W21" s="228" t="n"/>
      <c r="X21" s="228" t="n"/>
      <c r="Y21" s="228" t="n"/>
      <c r="Z21" s="228" t="n"/>
      <c r="AA21" s="228" t="n"/>
      <c r="AB21" s="228" t="n"/>
      <c r="AC21" s="228" t="n"/>
      <c r="AD21" s="228" t="n"/>
      <c r="AE21" s="228" t="n"/>
      <c r="AF21" s="228" t="n"/>
      <c r="AG21" s="228" t="n"/>
      <c r="AH21" s="228" t="n"/>
      <c r="AI21" s="258" t="n"/>
      <c r="AJ21" s="258" t="n"/>
      <c r="AK21" s="258" t="n"/>
    </row>
    <row r="22" customFormat="1" s="271">
      <c r="A22" s="76" t="inlineStr">
        <is>
          <t>ICGENERICO</t>
        </is>
      </c>
      <c r="B22" s="76" t="inlineStr">
        <is>
          <t>Interco GENERICO</t>
        </is>
      </c>
      <c r="C22" s="228" t="n">
        <v>-657595.402</v>
      </c>
      <c r="D22" s="228" t="n">
        <v>-675633.853</v>
      </c>
      <c r="E22" s="228" t="n">
        <v>-657451.111</v>
      </c>
      <c r="F22" s="228" t="n">
        <v>-674664.6</v>
      </c>
      <c r="G22" s="228" t="n">
        <v>-639887.8709999999</v>
      </c>
      <c r="H22" s="228" t="n">
        <v>-600285.2819999999</v>
      </c>
      <c r="I22" s="228" t="n"/>
      <c r="J22" s="228" t="n"/>
      <c r="K22" s="228" t="n">
        <v>-137.63473</v>
      </c>
      <c r="L22" s="228" t="n">
        <v>-143.43705</v>
      </c>
      <c r="M22" s="228" t="n">
        <v>-137.73601</v>
      </c>
      <c r="N22" s="228" t="n">
        <v>-148.96595</v>
      </c>
      <c r="O22" s="228" t="n">
        <v>-149.34984</v>
      </c>
      <c r="P22" s="228" t="n">
        <v>-138.48582</v>
      </c>
      <c r="Q22" s="233" t="n"/>
      <c r="R22" s="233" t="n"/>
      <c r="S22" s="233" t="n"/>
      <c r="T22" s="233" t="n"/>
      <c r="U22" s="233" t="n"/>
      <c r="V22" s="233" t="n"/>
      <c r="W22" s="233" t="n"/>
      <c r="X22" s="233" t="n"/>
      <c r="Y22" s="233" t="n"/>
      <c r="Z22" s="233" t="n"/>
      <c r="AA22" s="233" t="n"/>
      <c r="AB22" s="233" t="n"/>
      <c r="AC22" s="233" t="n"/>
      <c r="AD22" s="233" t="n"/>
      <c r="AE22" s="233" t="n"/>
      <c r="AF22" s="263" t="n"/>
      <c r="AG22" s="263" t="n"/>
      <c r="AH22" s="263" t="n"/>
      <c r="AI22" s="272" t="n"/>
      <c r="AJ22" s="272" t="n"/>
      <c r="AK22" s="272" t="n"/>
    </row>
    <row r="23" ht="16.5" customFormat="1" customHeight="1" s="273">
      <c r="A23" s="125" t="inlineStr">
        <is>
          <t>ICRESTO</t>
        </is>
      </c>
      <c r="B23" s="125" t="inlineStr">
        <is>
          <t>Interco RESTO</t>
        </is>
      </c>
      <c r="C23" s="274" t="n">
        <v>-657595.402</v>
      </c>
      <c r="D23" s="274" t="n">
        <v>-675633.853</v>
      </c>
      <c r="E23" s="274" t="n">
        <v>-657451.111</v>
      </c>
      <c r="F23" s="274" t="n">
        <v>-674664.6</v>
      </c>
      <c r="G23" s="274" t="n">
        <v>-639887.8709999999</v>
      </c>
      <c r="H23" s="274" t="n">
        <v>-600285.2819999999</v>
      </c>
      <c r="I23" s="274" t="n"/>
      <c r="J23" s="274" t="n"/>
      <c r="K23" s="274" t="n">
        <v>-137.63473</v>
      </c>
      <c r="L23" s="274" t="n">
        <v>-143.43705</v>
      </c>
      <c r="M23" s="274" t="n">
        <v>-137.73601</v>
      </c>
      <c r="N23" s="274" t="n">
        <v>-148.96595</v>
      </c>
      <c r="O23" s="274" t="n">
        <v>-149.34984</v>
      </c>
      <c r="P23" s="274" t="n">
        <v>-138.48582</v>
      </c>
      <c r="Q23" s="274" t="n"/>
      <c r="R23" s="274" t="n"/>
      <c r="S23" s="274" t="n"/>
      <c r="T23" s="274" t="n"/>
      <c r="U23" s="274" t="n"/>
      <c r="V23" s="274" t="n"/>
      <c r="W23" s="274" t="n"/>
      <c r="X23" s="274" t="n"/>
      <c r="Y23" s="274" t="n"/>
      <c r="Z23" s="274" t="n"/>
      <c r="AA23" s="274" t="n"/>
      <c r="AB23" s="274" t="n"/>
      <c r="AC23" s="274" t="n"/>
      <c r="AD23" s="274" t="n"/>
      <c r="AE23" s="274" t="n"/>
      <c r="AF23" s="274" t="n"/>
      <c r="AG23" s="274" t="n"/>
      <c r="AH23" s="274" t="n"/>
      <c r="AI23" s="275" t="n"/>
      <c r="AJ23" s="275" t="n"/>
      <c r="AK23" s="275" t="n"/>
    </row>
    <row r="24" customFormat="1" s="268">
      <c r="A24" s="76" t="inlineStr">
        <is>
          <t>InterCo</t>
        </is>
      </c>
      <c r="B24" s="76" t="inlineStr">
        <is>
          <t>InterCo</t>
        </is>
      </c>
      <c r="C24" s="228" t="n">
        <v>-3705582.237</v>
      </c>
      <c r="D24" s="228" t="n">
        <v>-3782825.331</v>
      </c>
      <c r="E24" s="228" t="n">
        <v>-3802172.565</v>
      </c>
      <c r="F24" s="228" t="n">
        <v>-3814697.616</v>
      </c>
      <c r="G24" s="228" t="n">
        <v>-3725651.837</v>
      </c>
      <c r="H24" s="228" t="n">
        <v>-3723421.944</v>
      </c>
      <c r="I24" s="228" t="n"/>
      <c r="J24" s="228" t="n"/>
      <c r="K24" s="228" t="n">
        <v>-775.5783699999998</v>
      </c>
      <c r="L24" s="228" t="n">
        <v>-803.0937999999999</v>
      </c>
      <c r="M24" s="228" t="n">
        <v>-796.5551499999999</v>
      </c>
      <c r="N24" s="228" t="n">
        <v>-842.2852399999999</v>
      </c>
      <c r="O24" s="228" t="n">
        <v>-869.56715</v>
      </c>
      <c r="P24" s="228" t="n">
        <v>-858.9934499999999</v>
      </c>
      <c r="Q24" s="228" t="n"/>
      <c r="R24" s="228" t="n"/>
      <c r="S24" s="228" t="n"/>
      <c r="T24" s="228" t="n"/>
      <c r="U24" s="228" t="n"/>
      <c r="V24" s="228" t="n"/>
      <c r="W24" s="228" t="n"/>
      <c r="X24" s="228" t="n"/>
      <c r="Y24" s="228" t="n"/>
      <c r="Z24" s="228" t="n"/>
      <c r="AA24" s="228" t="n"/>
      <c r="AB24" s="228" t="n"/>
      <c r="AC24" s="228" t="n"/>
      <c r="AD24" s="228" t="n"/>
      <c r="AE24" s="228" t="n"/>
      <c r="AF24" s="228" t="n"/>
      <c r="AG24" s="228" t="n"/>
      <c r="AH24" s="228" t="n"/>
      <c r="AI24" s="258" t="n"/>
      <c r="AJ24" s="258" t="n"/>
      <c r="AK24" s="258" t="n"/>
    </row>
    <row r="25">
      <c r="A25" s="76" t="n"/>
      <c r="B25" s="76" t="n"/>
      <c r="C25" s="228" t="n"/>
      <c r="D25" s="228" t="n"/>
      <c r="E25" s="228" t="n"/>
      <c r="F25" s="228" t="n"/>
      <c r="G25" s="228" t="n"/>
      <c r="H25" s="228" t="n"/>
      <c r="I25" s="228" t="n"/>
      <c r="J25" s="228" t="n"/>
      <c r="K25" s="228" t="n"/>
      <c r="L25" s="228" t="n"/>
      <c r="M25" s="228" t="n"/>
      <c r="N25" s="228" t="n"/>
      <c r="O25" s="228" t="n"/>
      <c r="P25" s="228" t="n"/>
      <c r="Q25" s="228" t="n"/>
      <c r="R25" s="228" t="n"/>
      <c r="S25" s="228" t="n"/>
      <c r="T25" s="228" t="n"/>
      <c r="U25" s="228" t="n"/>
      <c r="V25" s="228" t="n"/>
      <c r="W25" s="228" t="n"/>
      <c r="X25" s="228" t="n"/>
      <c r="Y25" s="228" t="n"/>
      <c r="Z25" s="228" t="n"/>
      <c r="AA25" s="228" t="n"/>
      <c r="AB25" s="228" t="n"/>
      <c r="AC25" s="228" t="n"/>
      <c r="AD25" s="228" t="n"/>
      <c r="AE25" s="228" t="n"/>
      <c r="AF25" s="228" t="n"/>
    </row>
    <row r="26" ht="12" customHeight="1">
      <c r="A26" s="76" t="n"/>
      <c r="B26" s="76" t="n"/>
      <c r="C26" s="228" t="n"/>
      <c r="D26" s="228" t="n"/>
      <c r="E26" s="228" t="n"/>
      <c r="F26" s="228" t="n"/>
      <c r="G26" s="228" t="n"/>
      <c r="H26" s="228" t="n"/>
      <c r="I26" s="228" t="n"/>
      <c r="J26" s="228" t="n"/>
      <c r="K26" s="228" t="n"/>
      <c r="L26" s="228" t="n"/>
      <c r="M26" s="228" t="n"/>
      <c r="N26" s="228" t="n"/>
      <c r="O26" s="228" t="n"/>
      <c r="P26" s="228" t="n"/>
      <c r="Q26" s="228" t="n"/>
      <c r="R26" s="228" t="n"/>
      <c r="S26" s="228" t="n"/>
      <c r="T26" s="228" t="n"/>
      <c r="U26" s="228" t="n"/>
      <c r="V26" s="228" t="n"/>
      <c r="W26" s="228" t="n"/>
      <c r="X26" s="228" t="n"/>
      <c r="Y26" s="228" t="n"/>
      <c r="Z26" s="228" t="n"/>
      <c r="AA26" s="228" t="n"/>
      <c r="AB26" s="228" t="n"/>
      <c r="AC26" s="228" t="n"/>
      <c r="AD26" s="228" t="n"/>
      <c r="AE26" s="228" t="n"/>
      <c r="AF26" s="228" t="n"/>
    </row>
    <row r="27">
      <c r="A27" s="76" t="n"/>
      <c r="B27" s="76" t="n"/>
      <c r="C27" s="228" t="n"/>
      <c r="D27" s="228" t="n"/>
      <c r="E27" s="228" t="n"/>
      <c r="F27" s="228" t="n"/>
      <c r="G27" s="228" t="n"/>
      <c r="H27" s="228" t="n"/>
      <c r="I27" s="228" t="n"/>
      <c r="J27" s="228" t="n"/>
      <c r="K27" s="228" t="n"/>
      <c r="L27" s="228" t="n"/>
      <c r="M27" s="228" t="n"/>
      <c r="N27" s="228" t="n"/>
      <c r="O27" s="228" t="n"/>
      <c r="P27" s="228" t="n"/>
      <c r="Q27" s="228" t="n"/>
      <c r="R27" s="228" t="n"/>
      <c r="S27" s="228" t="n"/>
      <c r="T27" s="228" t="n"/>
      <c r="U27" s="228" t="n"/>
      <c r="V27" s="228" t="n"/>
      <c r="W27" s="228" t="n"/>
      <c r="X27" s="228" t="n"/>
      <c r="Y27" s="228" t="n"/>
      <c r="Z27" s="228" t="n"/>
      <c r="AA27" s="228" t="n"/>
      <c r="AB27" s="228" t="n"/>
      <c r="AC27" s="228" t="n"/>
      <c r="AD27" s="228" t="n"/>
      <c r="AE27" s="228" t="n"/>
      <c r="AF27" s="228"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Valencia Varela Nancy</dc:creator>
  <dcterms:created xsi:type="dcterms:W3CDTF">2022-02-08T13:51:56Z</dcterms:created>
  <dcterms:modified xsi:type="dcterms:W3CDTF">2025-09-24T20:42:40Z</dcterms:modified>
  <cp:lastModifiedBy>Nancy Valencia Varela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0x010100C180ACE9286AA24ABB000DEB6A7192BC</vt:lpwstr>
  </property>
  <property name="MediaServiceImageTags" fmtid="{D5CDD505-2E9C-101B-9397-08002B2CF9AE}" pid="3">
    <vt:lpwstr/>
  </property>
</Properties>
</file>