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defaultThemeVersion="166925"/>
  <mc:AlternateContent xmlns:mc="http://schemas.openxmlformats.org/markup-compatibility/2006">
    <mc:Choice Requires="x15">
      <x15ac:absPath xmlns:x15ac="http://schemas.microsoft.com/office/spreadsheetml/2010/11/ac" url="https://gplaneta.sharepoint.com/sites/CARTERA/Shared Documents/General/Archivos Cierre/07 JULIO 2025/"/>
    </mc:Choice>
  </mc:AlternateContent>
  <xr:revisionPtr revIDLastSave="0" documentId="8_{1E989F44-CC67-48E2-87B7-AD69E9871EA0}" xr6:coauthVersionLast="47" xr6:coauthVersionMax="47" xr10:uidLastSave="{00000000-0000-0000-0000-000000000000}"/>
  <bookViews>
    <workbookView xWindow="-120" yWindow="-120" windowWidth="20730" windowHeight="11040" xr2:uid="{B303AFCC-524D-4A39-A3E8-376B7B137387}"/>
  </bookViews>
  <sheets>
    <sheet name="MODELO DEUDA JULIO 2025" sheetId="3" r:id="rId1"/>
    <sheet name="FOCUS" sheetId="1" r:id="rId2"/>
    <sheet name="PROV"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3" l="1"/>
  <c r="D22" i="3"/>
  <c r="S16" i="3"/>
  <c r="R17" i="3" l="1"/>
  <c r="F49" i="3"/>
  <c r="F50" i="3" s="1"/>
  <c r="L50" i="3" s="1"/>
  <c r="D49" i="3"/>
  <c r="D50" i="3" s="1"/>
  <c r="H48" i="3"/>
  <c r="L47" i="3"/>
  <c r="J47" i="3"/>
  <c r="N47" i="3" s="1"/>
  <c r="H47" i="3"/>
  <c r="H49" i="3" s="1"/>
  <c r="L46" i="3"/>
  <c r="J46" i="3"/>
  <c r="N46" i="3" s="1"/>
  <c r="H46" i="3"/>
  <c r="L45" i="3"/>
  <c r="J45" i="3"/>
  <c r="N45" i="3" s="1"/>
  <c r="H45" i="3"/>
  <c r="L44" i="3"/>
  <c r="J44" i="3"/>
  <c r="N44" i="3" s="1"/>
  <c r="F42" i="3"/>
  <c r="F43" i="3" s="1"/>
  <c r="D42" i="3"/>
  <c r="D43" i="3" s="1"/>
  <c r="J43" i="3" s="1"/>
  <c r="H41" i="3"/>
  <c r="H42" i="3" s="1"/>
  <c r="L40" i="3"/>
  <c r="J40" i="3"/>
  <c r="L39" i="3"/>
  <c r="J39" i="3"/>
  <c r="N39" i="3" s="1"/>
  <c r="L38" i="3"/>
  <c r="J38" i="3"/>
  <c r="N38" i="3" s="1"/>
  <c r="L37" i="3"/>
  <c r="J37" i="3"/>
  <c r="N37" i="3" s="1"/>
  <c r="H37" i="3"/>
  <c r="L36" i="3"/>
  <c r="J36" i="3"/>
  <c r="N36" i="3" s="1"/>
  <c r="H36" i="3"/>
  <c r="L35" i="3"/>
  <c r="J35" i="3"/>
  <c r="N35" i="3" s="1"/>
  <c r="F28" i="3"/>
  <c r="F29" i="3" s="1"/>
  <c r="L29" i="3" s="1"/>
  <c r="D28" i="3"/>
  <c r="D29" i="3" s="1"/>
  <c r="H27" i="3"/>
  <c r="H26" i="3"/>
  <c r="H28" i="3" s="1"/>
  <c r="H25" i="3"/>
  <c r="H24" i="3"/>
  <c r="L23" i="3"/>
  <c r="J23" i="3"/>
  <c r="N23" i="3" s="1"/>
  <c r="J22" i="3"/>
  <c r="F21" i="3"/>
  <c r="D21" i="3"/>
  <c r="H20" i="3"/>
  <c r="H19" i="3"/>
  <c r="H21" i="3" s="1"/>
  <c r="H18" i="3"/>
  <c r="H22" i="3" s="1"/>
  <c r="J17" i="3"/>
  <c r="F17" i="3"/>
  <c r="R22" i="3"/>
  <c r="J14" i="3"/>
  <c r="L14" i="3"/>
  <c r="N40" i="3" l="1"/>
  <c r="F51" i="3"/>
  <c r="L43" i="3"/>
  <c r="L51" i="3" s="1"/>
  <c r="L48" i="3"/>
  <c r="L49" i="3" s="1"/>
  <c r="H50" i="3"/>
  <c r="H43" i="3"/>
  <c r="L17" i="3"/>
  <c r="N17" i="3" s="1"/>
  <c r="F22" i="3"/>
  <c r="N14" i="3"/>
  <c r="J41" i="3"/>
  <c r="D30" i="3"/>
  <c r="J29" i="3"/>
  <c r="J50" i="3"/>
  <c r="J48" i="3" s="1"/>
  <c r="D51" i="3"/>
  <c r="H51" i="3"/>
  <c r="H29" i="3"/>
  <c r="H30" i="3" s="1"/>
  <c r="L41" i="3"/>
  <c r="L42" i="3" s="1"/>
  <c r="J30" i="3" l="1"/>
  <c r="J49" i="3"/>
  <c r="N48" i="3"/>
  <c r="N49" i="3" s="1"/>
  <c r="N50" i="3" s="1"/>
  <c r="L22" i="3"/>
  <c r="F30" i="3"/>
  <c r="J42" i="3"/>
  <c r="N41" i="3"/>
  <c r="N42" i="3" s="1"/>
  <c r="N43" i="3" s="1"/>
  <c r="J51" i="3"/>
  <c r="N51" i="3" l="1"/>
  <c r="L30" i="3"/>
  <c r="G52" i="3" l="1"/>
  <c r="E52" i="3"/>
  <c r="D52" i="3" l="1"/>
  <c r="F52" i="3"/>
  <c r="H52" i="3"/>
  <c r="C15" i="1" l="1"/>
  <c r="M15" i="1" l="1"/>
  <c r="N15" i="1"/>
  <c r="O15" i="1"/>
  <c r="P15" i="1"/>
  <c r="Q15" i="1"/>
  <c r="R15" i="1"/>
  <c r="S15" i="1"/>
  <c r="L15" i="1"/>
  <c r="D15" i="1"/>
  <c r="E15" i="1"/>
  <c r="F15" i="1"/>
  <c r="G15" i="1"/>
  <c r="H15" i="1"/>
  <c r="I15" i="1"/>
  <c r="J15" i="1"/>
  <c r="R40" i="3" l="1"/>
  <c r="P28" i="3" l="1"/>
  <c r="J10" i="3"/>
  <c r="H10" i="3"/>
  <c r="H7" i="3"/>
  <c r="L15" i="3" l="1"/>
  <c r="L26" i="3"/>
  <c r="J26" i="3"/>
  <c r="L25" i="3"/>
  <c r="J25" i="3"/>
  <c r="N25" i="3" s="1"/>
  <c r="L24" i="3"/>
  <c r="L27" i="3" s="1"/>
  <c r="L28" i="3" s="1"/>
  <c r="J24" i="3"/>
  <c r="L19" i="3"/>
  <c r="J19" i="3"/>
  <c r="L18" i="3"/>
  <c r="J18" i="3"/>
  <c r="N18" i="3" s="1"/>
  <c r="L16" i="3"/>
  <c r="J16" i="3"/>
  <c r="N16" i="3" s="1"/>
  <c r="J15" i="3"/>
  <c r="S24" i="3"/>
  <c r="N15" i="3" l="1"/>
  <c r="J20" i="3"/>
  <c r="N19" i="3"/>
  <c r="J21" i="3"/>
  <c r="N24" i="3"/>
  <c r="J27" i="3"/>
  <c r="N27" i="3" s="1"/>
  <c r="N26" i="3"/>
  <c r="J28" i="3"/>
  <c r="L20" i="3"/>
  <c r="L21" i="3" s="1"/>
  <c r="P30" i="3"/>
  <c r="O27" i="3"/>
  <c r="R27" i="3"/>
  <c r="Q16" i="3"/>
  <c r="N28" i="3" l="1"/>
  <c r="N29" i="3" s="1"/>
  <c r="N20" i="3"/>
  <c r="N21" i="3" s="1"/>
  <c r="N22" i="3" s="1"/>
  <c r="N30" i="3" s="1"/>
  <c r="P32" i="3"/>
  <c r="O30" i="3" l="1"/>
  <c r="O23" i="3" l="1"/>
  <c r="T1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pcriales</author>
    <author>tc={AB13C535-44F1-437E-875D-EF333D87BF6F}</author>
    <author>Angie Marcela Rodriguez Cruz</author>
  </authors>
  <commentList>
    <comment ref="H7" authorId="0" shapeId="0" xr:uid="{F43CCB8C-7C70-4D10-9872-9215D7A976C1}">
      <text>
        <r>
          <rPr>
            <b/>
            <sz val="9"/>
            <color indexed="81"/>
            <rFont val="Tahoma"/>
            <family val="2"/>
          </rPr>
          <t>pcriales:</t>
        </r>
        <r>
          <rPr>
            <sz val="9"/>
            <color indexed="81"/>
            <rFont val="Tahoma"/>
            <family val="2"/>
          </rPr>
          <t xml:space="preserve">
EURO</t>
        </r>
      </text>
    </comment>
    <comment ref="H8" authorId="0" shapeId="0" xr:uid="{80FD3B22-9CFB-46BB-94C1-614D580EE64D}">
      <text>
        <r>
          <rPr>
            <b/>
            <sz val="9"/>
            <color indexed="81"/>
            <rFont val="Tahoma"/>
            <family val="2"/>
          </rPr>
          <t>pcriales:</t>
        </r>
        <r>
          <rPr>
            <sz val="9"/>
            <color indexed="81"/>
            <rFont val="Tahoma"/>
            <family val="2"/>
          </rPr>
          <t xml:space="preserve">
EURO</t>
        </r>
      </text>
    </comment>
    <comment ref="O22" authorId="1" shapeId="0" xr:uid="{ADD05EE4-9B64-4273-AF5F-1F649770B949}">
      <text>
        <t>[Threaded comment]
Your version of Excel allows you to read this threaded comment; however, any edits to it will get removed if the file is opened in a newer version of Excel. Learn more: https://go.microsoft.com/fwlink/?linkid=870924
Comment:
    Focus euro</t>
      </text>
    </comment>
    <comment ref="R22" authorId="2" shapeId="0" xr:uid="{F6B76D0B-C88B-40AC-9168-988C3A43F964}">
      <text>
        <r>
          <rPr>
            <b/>
            <sz val="9"/>
            <color indexed="81"/>
            <rFont val="Tahoma"/>
            <family val="2"/>
          </rPr>
          <t>Angie Marcela Rodriguez Cruz:</t>
        </r>
        <r>
          <rPr>
            <sz val="9"/>
            <color indexed="81"/>
            <rFont val="Tahoma"/>
            <family val="2"/>
          </rPr>
          <t xml:space="preserve">
</t>
        </r>
      </text>
    </comment>
  </commentList>
</comments>
</file>

<file path=xl/sharedStrings.xml><?xml version="1.0" encoding="utf-8"?>
<sst xmlns="http://schemas.openxmlformats.org/spreadsheetml/2006/main" count="336" uniqueCount="136">
  <si>
    <t xml:space="preserve">                                                                                                                    </t>
  </si>
  <si>
    <t>RESUMEN DEUDA NO GRUPO (datos en Miles)</t>
  </si>
  <si>
    <t>LIBRERÍAS COLOMBIA</t>
  </si>
  <si>
    <t>euro</t>
  </si>
  <si>
    <t>Julio</t>
  </si>
  <si>
    <t>TIPO DE CAMBIO</t>
  </si>
  <si>
    <t>CIERRE</t>
  </si>
  <si>
    <t>junio  (Mes)</t>
  </si>
  <si>
    <t>focus</t>
  </si>
  <si>
    <t>Diciembre A-1</t>
  </si>
  <si>
    <t>PROMEDIO</t>
  </si>
  <si>
    <t>MES</t>
  </si>
  <si>
    <t>Datos en Moneda Local</t>
  </si>
  <si>
    <t>Datos en  €</t>
  </si>
  <si>
    <t>Vencida</t>
  </si>
  <si>
    <t>No Vencida</t>
  </si>
  <si>
    <t>Total Deuda</t>
  </si>
  <si>
    <t>Deuda bruta NO Grupo (Inicial)</t>
  </si>
  <si>
    <t xml:space="preserve"> </t>
  </si>
  <si>
    <t>- Cobros del mes</t>
  </si>
  <si>
    <t>+ Facturación del mes</t>
  </si>
  <si>
    <t>COBROS SITUACION</t>
  </si>
  <si>
    <t>negativa</t>
  </si>
  <si>
    <t>+/- Vencidos en el mes</t>
  </si>
  <si>
    <t>VENCIDA + 60 días</t>
  </si>
  <si>
    <t>+/- Regularizaciones</t>
  </si>
  <si>
    <t>-/+ Actualización cambiaria</t>
  </si>
  <si>
    <t>VENCIDO MES 30 dias signo positivo</t>
  </si>
  <si>
    <t>+/- Ef. Conversión (solo cuadro €)</t>
  </si>
  <si>
    <t xml:space="preserve"> +/- Movimiento Tipo de Cambio</t>
  </si>
  <si>
    <t>FOCUS DE EUROS PEGAR ULTIMO</t>
  </si>
  <si>
    <t>BORRAR EL RESULTADO ANTES DE PEGAR</t>
  </si>
  <si>
    <t>Deuda bruta NO Grupo (Final)</t>
  </si>
  <si>
    <t>FOCUS</t>
  </si>
  <si>
    <t>positivo</t>
  </si>
  <si>
    <t>- Dotaciones Acumuladas (Inicial)</t>
  </si>
  <si>
    <t>- Dotaciones del mes</t>
  </si>
  <si>
    <t>+ Desdotaciones</t>
  </si>
  <si>
    <t>prov</t>
  </si>
  <si>
    <t>PROVISION FOCUS DE EUROS PEGAR ULTIMO</t>
  </si>
  <si>
    <t>+/- Provisión acumulada (Final)</t>
  </si>
  <si>
    <t>Saldo neto</t>
  </si>
  <si>
    <t>ACUMULADO</t>
  </si>
  <si>
    <t>Deuda bruta NO Grupo (inicial)</t>
  </si>
  <si>
    <t>- Cobros</t>
  </si>
  <si>
    <t>+ Facturación</t>
  </si>
  <si>
    <t>+/- Vencidos</t>
  </si>
  <si>
    <t>Conversión a euro</t>
  </si>
  <si>
    <t>FECHA</t>
  </si>
  <si>
    <t>DÓLAR TRM</t>
  </si>
  <si>
    <t>EURO/PESO COL</t>
  </si>
  <si>
    <t>7/31/2025</t>
  </si>
  <si>
    <t>- Dotaciones</t>
  </si>
  <si>
    <t>Enero</t>
  </si>
  <si>
    <t>Febrero</t>
  </si>
  <si>
    <t>Marzo</t>
  </si>
  <si>
    <t>Abril</t>
  </si>
  <si>
    <t xml:space="preserve">Mayo </t>
  </si>
  <si>
    <t>Junio</t>
  </si>
  <si>
    <t>Agosto</t>
  </si>
  <si>
    <t>Septiembre</t>
  </si>
  <si>
    <t>Octubre</t>
  </si>
  <si>
    <t>Noviembre</t>
  </si>
  <si>
    <t>Diciembre</t>
  </si>
  <si>
    <t>Área</t>
  </si>
  <si>
    <t>2025</t>
  </si>
  <si>
    <t>2024</t>
  </si>
  <si>
    <t>InterCo</t>
  </si>
  <si>
    <t>MONEDA LOCAL</t>
  </si>
  <si>
    <t>Euros</t>
  </si>
  <si>
    <t>Julio_ac</t>
  </si>
  <si>
    <t>Junio_ac</t>
  </si>
  <si>
    <t>Mayo_ac</t>
  </si>
  <si>
    <t>Abril_ac</t>
  </si>
  <si>
    <t>Marzo_ac</t>
  </si>
  <si>
    <t>Febrero_ac</t>
  </si>
  <si>
    <t>Enero_ac</t>
  </si>
  <si>
    <t>Diciembre_ac</t>
  </si>
  <si>
    <t>Real</t>
  </si>
  <si>
    <t>43091</t>
  </si>
  <si>
    <t>FRAS.PDTE.EMITIR</t>
  </si>
  <si>
    <t>43001</t>
  </si>
  <si>
    <t>CLIENTES NACIONALES</t>
  </si>
  <si>
    <t>43002</t>
  </si>
  <si>
    <t>CLIENTES NACIONALES ESPECIALES</t>
  </si>
  <si>
    <t>43008</t>
  </si>
  <si>
    <t>CONSIGNACION CLIENTES NO IDENT</t>
  </si>
  <si>
    <t>43042</t>
  </si>
  <si>
    <t>CLIENTES EXTRANJERO EUROS</t>
  </si>
  <si>
    <t>43092</t>
  </si>
  <si>
    <t>CHEQUES DEVUELTOS NACIONALES</t>
  </si>
  <si>
    <t>43101</t>
  </si>
  <si>
    <t>CHEQUES POSTFECHADOS  NACIONAL</t>
  </si>
  <si>
    <t>BCA10_1</t>
  </si>
  <si>
    <t>CLIENTES POR VENTAS Y PREST.SERVICIOS</t>
  </si>
  <si>
    <t>BCA10_2</t>
  </si>
  <si>
    <t>DEUDORES EMP. GRUPO Y ASOCIADAS</t>
  </si>
  <si>
    <t>BCA10_3</t>
  </si>
  <si>
    <t>DEUDORES VARIOS.</t>
  </si>
  <si>
    <t>BCA10_6</t>
  </si>
  <si>
    <t>PROV. DEUDORES</t>
  </si>
  <si>
    <t>BCA10A</t>
  </si>
  <si>
    <t>DEUDORES CIALES Y OTRAS CTAS COBRAR.</t>
  </si>
  <si>
    <t>CLIENTES EXTRANJERO NO GRUPO U</t>
  </si>
  <si>
    <t>ICESP</t>
  </si>
  <si>
    <t>Interco ESPAÑA</t>
  </si>
  <si>
    <t>ICBRASIL</t>
  </si>
  <si>
    <t>Interco BRASIL</t>
  </si>
  <si>
    <t>IC00080</t>
  </si>
  <si>
    <t>Editorial Planeta Colombiana, S.A.</t>
  </si>
  <si>
    <t>IC00576</t>
  </si>
  <si>
    <t>Ediciones Planeta Colombia</t>
  </si>
  <si>
    <t>IC00577</t>
  </si>
  <si>
    <t>Editorial Planeta Perú, S.A.</t>
  </si>
  <si>
    <t>IC00580</t>
  </si>
  <si>
    <t>Editorial Planeta Venezolana, S.A.</t>
  </si>
  <si>
    <t>IC00640</t>
  </si>
  <si>
    <t>Editorial Planeta Ecuador, S.A.</t>
  </si>
  <si>
    <t>IC00393</t>
  </si>
  <si>
    <t>Planeta Deagostini Formación Colombiana, S.A.</t>
  </si>
  <si>
    <t>IC00392</t>
  </si>
  <si>
    <t>Planeta Deagostini Formación Perú, S.A.</t>
  </si>
  <si>
    <t>ICANDINO</t>
  </si>
  <si>
    <t>Interco ANDINO</t>
  </si>
  <si>
    <t>ICSUR</t>
  </si>
  <si>
    <t>Interco SUR</t>
  </si>
  <si>
    <t>ICMEXICO</t>
  </si>
  <si>
    <t>Interco MEXICO</t>
  </si>
  <si>
    <t>ICOTRLAT</t>
  </si>
  <si>
    <t>Interco OTROS LATAM</t>
  </si>
  <si>
    <t>ICLAT</t>
  </si>
  <si>
    <t>Interco LATAM</t>
  </si>
  <si>
    <t>ICGENERICO</t>
  </si>
  <si>
    <t>Interco GENERICO</t>
  </si>
  <si>
    <t>ICRESTO</t>
  </si>
  <si>
    <t>Interco RESTO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</si>
</sst>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_-* #,##0_-;\-* #,##0_-;_-* &quot;-&quot;_-;_-@_-"/>
    <numFmt numFmtId="165" formatCode="_-* #,##0.00_-;\-* #,##0.00_-;_-* &quot;-&quot;??_-;_-@_-"/>
    <numFmt numFmtId="166" formatCode="_-* #,##0.00\ _€_-;\-* #,##0.00\ _€_-;_-* &quot;-&quot;??\ _€_-;_-@_-"/>
    <numFmt numFmtId="167" formatCode="_-* #,##0\ _€_-;\-* #,##0\ _€_-;_-* &quot;-&quot;\ _€_-;_-@_-"/>
    <numFmt numFmtId="168" formatCode="_-* #,##0_-;\-* #,##0_-;_-* &quot;-&quot;??_-;_-@_-"/>
    <numFmt numFmtId="169" formatCode="_-* #,##0\ _€_-;\-* #,##0\ _€_-;_-* &quot;-&quot;??\ _€_-;_-@_-"/>
    <numFmt numFmtId="170" formatCode="#,##0.0"/>
    <numFmt numFmtId="171" formatCode="_-* #,##0.00_-;\-* #,##0.00_-;_-* &quot;-&quot;???_-;_-@_-"/>
    <numFmt numFmtId="172" formatCode="_ * #,##0.00_ ;_ * \-#,##0.00_ ;_ * &quot;-&quot;??_ ;_ @_ "/>
    <numFmt numFmtId="173" formatCode="_ * #,##0_ ;_ * \-#,##0_ ;_ * &quot;-&quot;_ ;_ @_ "/>
    <numFmt numFmtId="174" formatCode="#,##0.00_ ;\-#,##0.00\ "/>
    <numFmt numFmtId="175" formatCode="_-* #,##0.0000_-;\-* #,##0.0000_-;_-* &quot;-&quot;??_-;_-@_-"/>
  </numFmts>
  <fonts count="38">
    <font>
      <sz val="11"/>
      <color theme="1"/>
      <name val="Calibri"/>
      <family val="2"/>
      <scheme val="minor"/>
    </font>
    <font>
      <sz val="11"/>
      <color theme="1"/>
      <name val="Calibri"/>
      <family val="2"/>
      <scheme val="minor"/>
    </font>
    <font>
      <b/>
      <sz val="15"/>
      <color theme="3"/>
      <name val="Calibri"/>
      <family val="2"/>
      <scheme val="minor"/>
    </font>
    <font>
      <sz val="10"/>
      <name val="Arial"/>
      <family val="2"/>
    </font>
    <font>
      <b/>
      <u/>
      <sz val="14"/>
      <name val="Arial"/>
      <family val="2"/>
    </font>
    <font>
      <sz val="16"/>
      <name val="Arial"/>
      <family val="2"/>
    </font>
    <font>
      <b/>
      <sz val="16"/>
      <name val="Arial"/>
      <family val="2"/>
    </font>
    <font>
      <b/>
      <sz val="10"/>
      <name val="Arial"/>
      <family val="2"/>
    </font>
    <font>
      <b/>
      <sz val="11"/>
      <name val="Arial"/>
      <family val="2"/>
    </font>
    <font>
      <b/>
      <sz val="12"/>
      <name val="Arial"/>
      <family val="2"/>
    </font>
    <font>
      <b/>
      <sz val="10"/>
      <color theme="0"/>
      <name val="Arial"/>
      <family val="2"/>
    </font>
    <font>
      <sz val="10"/>
      <color theme="0"/>
      <name val="Arial"/>
      <family val="2"/>
    </font>
    <font>
      <b/>
      <sz val="9"/>
      <color indexed="81"/>
      <name val="Tahoma"/>
      <family val="2"/>
    </font>
    <font>
      <sz val="9"/>
      <color indexed="81"/>
      <name val="Tahoma"/>
      <family val="2"/>
    </font>
    <font>
      <b/>
      <sz val="10"/>
      <color rgb="FF1F497D"/>
      <name val="Arial"/>
      <family val="2"/>
    </font>
    <font>
      <b/>
      <sz val="11"/>
      <color theme="1"/>
      <name val="Calibri"/>
      <family val="2"/>
      <scheme val="minor"/>
    </font>
    <font>
      <b/>
      <sz val="9"/>
      <color rgb="FF0069D6"/>
      <name val="Microsoft Sans Serif"/>
      <family val="2"/>
    </font>
    <font>
      <sz val="18"/>
      <color theme="3"/>
      <name val="Calibri Light"/>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1"/>
      <name val="Calibri"/>
      <family val="2"/>
      <scheme val="minor"/>
    </font>
    <font>
      <b/>
      <sz val="10"/>
      <color rgb="FFFFFFFF"/>
      <name val="Calibri"/>
      <family val="2"/>
    </font>
    <font>
      <sz val="11"/>
      <color rgb="FF000000"/>
      <name val="Calibri"/>
      <family val="2"/>
    </font>
    <font>
      <sz val="10"/>
      <name val="Calibri"/>
      <family val="2"/>
    </font>
    <font>
      <sz val="11"/>
      <color rgb="FF000000"/>
      <name val="Calibri"/>
      <family val="2"/>
      <scheme val="minor"/>
    </font>
  </fonts>
  <fills count="57">
    <fill>
      <patternFill patternType="none"/>
    </fill>
    <fill>
      <patternFill patternType="gray125"/>
    </fill>
    <fill>
      <patternFill patternType="solid">
        <fgColor theme="0" tint="-0.249977111117893"/>
        <bgColor indexed="64"/>
      </patternFill>
    </fill>
    <fill>
      <patternFill patternType="solid">
        <fgColor rgb="FF002060"/>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B0F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4C6E7"/>
        <bgColor indexed="64"/>
      </patternFill>
    </fill>
    <fill>
      <patternFill patternType="solid">
        <fgColor theme="6" tint="0.59999389629810485"/>
        <bgColor indexed="64"/>
      </patternFill>
    </fill>
    <fill>
      <patternFill patternType="solid">
        <fgColor rgb="FFFCF1AE"/>
        <bgColor indexed="64"/>
      </patternFill>
    </fill>
    <fill>
      <patternFill patternType="solid">
        <fgColor theme="6" tint="0.79998168889431442"/>
        <bgColor indexed="64"/>
      </patternFill>
    </fill>
    <fill>
      <patternFill patternType="solid">
        <fgColor rgb="FFF2F2F2"/>
        <bgColor indexed="64"/>
      </patternFill>
    </fill>
    <fill>
      <patternFill patternType="solid">
        <fgColor rgb="FFFFFF00"/>
        <bgColor indexed="64"/>
      </patternFill>
    </fill>
    <fill>
      <patternFill patternType="solid">
        <fgColor rgb="FFB4C6E7"/>
        <bgColor rgb="FF000000"/>
      </patternFill>
    </fill>
    <fill>
      <patternFill patternType="solid">
        <fgColor theme="4" tint="0.79998168889431442"/>
        <bgColor indexed="64"/>
      </patternFill>
    </fill>
    <fill>
      <patternFill patternType="solid">
        <fgColor theme="9"/>
        <bgColor indexed="64"/>
      </patternFill>
    </fill>
    <fill>
      <patternFill patternType="solid">
        <fgColor theme="7" tint="0.59999389629810485"/>
        <bgColor indexed="64"/>
      </patternFill>
    </fill>
  </fills>
  <borders count="25">
    <border>
      <left/>
      <right/>
      <top/>
      <bottom/>
      <diagonal/>
    </border>
    <border>
      <left/>
      <right/>
      <top/>
      <bottom style="thick">
        <color theme="4"/>
      </bottom>
      <diagonal/>
    </border>
    <border>
      <left style="thin">
        <color rgb="FFC0C0C0"/>
      </left>
      <right style="thin">
        <color rgb="FFC0C0C0"/>
      </right>
      <top style="thin">
        <color rgb="FFC0C0C0"/>
      </top>
      <bottom style="thin">
        <color rgb="FFC0C0C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rgb="FF808080"/>
      </right>
      <top style="thin">
        <color rgb="FF808080"/>
      </top>
      <bottom style="thin">
        <color rgb="FF808080"/>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rgb="FF9BC2E6"/>
      </bottom>
      <diagonal/>
    </border>
    <border>
      <left/>
      <right/>
      <top/>
      <bottom style="medium">
        <color rgb="FF9BC2E6"/>
      </bottom>
      <diagonal/>
    </border>
    <border>
      <left/>
      <right style="medium">
        <color indexed="64"/>
      </right>
      <top/>
      <bottom style="medium">
        <color rgb="FF9BC2E6"/>
      </bottom>
      <diagonal/>
    </border>
  </borders>
  <cellStyleXfs count="116">
    <xf numFmtId="0" fontId="0" fillId="0" borderId="0"/>
    <xf numFmtId="165"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 fontId="3" fillId="0" borderId="0"/>
    <xf numFmtId="0" fontId="2" fillId="0" borderId="1" applyNumberFormat="0" applyFill="0" applyAlignment="0" applyProtection="0"/>
    <xf numFmtId="0" fontId="17" fillId="0" borderId="0" applyNumberFormat="0" applyFill="0" applyBorder="0" applyAlignment="0" applyProtection="0"/>
    <xf numFmtId="0" fontId="2" fillId="0" borderId="1" applyNumberFormat="0" applyFill="0" applyAlignment="0" applyProtection="0"/>
    <xf numFmtId="0" fontId="18" fillId="0" borderId="11" applyNumberFormat="0" applyFill="0" applyAlignment="0" applyProtection="0"/>
    <xf numFmtId="0" fontId="19" fillId="0" borderId="12" applyNumberFormat="0" applyFill="0" applyAlignment="0" applyProtection="0"/>
    <xf numFmtId="0" fontId="19" fillId="0" borderId="0" applyNumberFormat="0" applyFill="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2" fillId="18" borderId="0" applyNumberFormat="0" applyBorder="0" applyAlignment="0" applyProtection="0"/>
    <xf numFmtId="0" fontId="23" fillId="19" borderId="13" applyNumberFormat="0" applyAlignment="0" applyProtection="0"/>
    <xf numFmtId="0" fontId="24" fillId="20" borderId="14" applyNumberFormat="0" applyAlignment="0" applyProtection="0"/>
    <xf numFmtId="0" fontId="25" fillId="20" borderId="13" applyNumberFormat="0" applyAlignment="0" applyProtection="0"/>
    <xf numFmtId="0" fontId="26" fillId="0" borderId="15" applyNumberFormat="0" applyFill="0" applyAlignment="0" applyProtection="0"/>
    <xf numFmtId="0" fontId="27" fillId="21" borderId="16" applyNumberFormat="0" applyAlignment="0" applyProtection="0"/>
    <xf numFmtId="0" fontId="28" fillId="0" borderId="0" applyNumberFormat="0" applyFill="0" applyBorder="0" applyAlignment="0" applyProtection="0"/>
    <xf numFmtId="0" fontId="1" fillId="22" borderId="17" applyNumberFormat="0" applyFont="0" applyAlignment="0" applyProtection="0"/>
    <xf numFmtId="0" fontId="29" fillId="0" borderId="0" applyNumberFormat="0" applyFill="0" applyBorder="0" applyAlignment="0" applyProtection="0"/>
    <xf numFmtId="0" fontId="15" fillId="0" borderId="18" applyNumberFormat="0" applyFill="0" applyAlignment="0" applyProtection="0"/>
    <xf numFmtId="0" fontId="30"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0"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0"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30"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0" fontId="3" fillId="0" borderId="0"/>
    <xf numFmtId="172" fontId="3" fillId="0" borderId="0" applyFont="0" applyFill="0" applyBorder="0" applyAlignment="0" applyProtection="0"/>
    <xf numFmtId="173" fontId="3" fillId="0" borderId="0" applyFont="0" applyFill="0" applyBorder="0" applyAlignment="0" applyProtection="0"/>
    <xf numFmtId="172" fontId="3" fillId="0" borderId="0" applyFont="0" applyFill="0" applyBorder="0" applyAlignment="0" applyProtection="0"/>
    <xf numFmtId="172"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cellStyleXfs>
  <cellXfs count="153">
    <xf numFmtId="0" fontId="0" fillId="0" borderId="0" xfId="0"/>
    <xf numFmtId="0" fontId="3" fillId="0" borderId="0" xfId="0" applyFont="1" applyProtection="1">
      <protection locked="0"/>
    </xf>
    <xf numFmtId="0" fontId="5" fillId="0" borderId="0" xfId="0" applyFont="1" applyProtection="1">
      <protection locked="0"/>
    </xf>
    <xf numFmtId="0" fontId="6" fillId="0" borderId="6" xfId="0" applyFont="1" applyBorder="1" applyAlignment="1" applyProtection="1">
      <alignment horizontal="center"/>
      <protection locked="0"/>
    </xf>
    <xf numFmtId="17" fontId="7" fillId="0" borderId="0" xfId="0" applyNumberFormat="1" applyFont="1" applyProtection="1">
      <protection locked="0"/>
    </xf>
    <xf numFmtId="17" fontId="7" fillId="0" borderId="0" xfId="0" applyNumberFormat="1"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17" fontId="10" fillId="3" borderId="7" xfId="6" applyNumberFormat="1" applyFont="1" applyFill="1" applyBorder="1" applyAlignment="1" applyProtection="1">
      <alignment horizontal="center" vertical="center"/>
      <protection locked="0"/>
    </xf>
    <xf numFmtId="3" fontId="7" fillId="4" borderId="7" xfId="6" applyNumberFormat="1" applyFont="1" applyFill="1" applyBorder="1" applyAlignment="1" applyProtection="1">
      <alignment horizontal="left" vertical="center"/>
      <protection locked="0"/>
    </xf>
    <xf numFmtId="0" fontId="3" fillId="0" borderId="0" xfId="0" applyFont="1" applyAlignment="1" applyProtection="1">
      <alignment horizontal="right" vertical="center"/>
      <protection locked="0"/>
    </xf>
    <xf numFmtId="3" fontId="7" fillId="0" borderId="7" xfId="6" quotePrefix="1" applyNumberFormat="1" applyFont="1" applyBorder="1" applyAlignment="1" applyProtection="1">
      <alignment horizontal="left" vertical="center" indent="1"/>
      <protection locked="0"/>
    </xf>
    <xf numFmtId="3" fontId="7" fillId="0" borderId="7" xfId="6" quotePrefix="1" applyNumberFormat="1" applyFont="1" applyBorder="1" applyAlignment="1" applyProtection="1">
      <alignment horizontal="right" vertical="center"/>
      <protection locked="0"/>
    </xf>
    <xf numFmtId="3" fontId="3" fillId="0" borderId="7" xfId="6" quotePrefix="1" applyNumberFormat="1" applyBorder="1" applyAlignment="1" applyProtection="1">
      <alignment horizontal="right" vertical="center"/>
      <protection locked="0"/>
    </xf>
    <xf numFmtId="3" fontId="3" fillId="0" borderId="7" xfId="6" quotePrefix="1" applyNumberFormat="1" applyBorder="1" applyAlignment="1" applyProtection="1">
      <alignment horizontal="left" vertical="center" indent="3"/>
      <protection locked="0"/>
    </xf>
    <xf numFmtId="0" fontId="7" fillId="0" borderId="0" xfId="0" applyFont="1" applyAlignment="1" applyProtection="1">
      <alignment horizontal="right" vertical="center"/>
      <protection locked="0"/>
    </xf>
    <xf numFmtId="3" fontId="11" fillId="5" borderId="7" xfId="6" quotePrefix="1" applyNumberFormat="1" applyFont="1" applyFill="1" applyBorder="1" applyAlignment="1" applyProtection="1">
      <alignment horizontal="right" vertical="center"/>
      <protection locked="0"/>
    </xf>
    <xf numFmtId="3" fontId="7" fillId="6" borderId="7" xfId="6" applyNumberFormat="1" applyFont="1" applyFill="1" applyBorder="1" applyAlignment="1" applyProtection="1">
      <alignment horizontal="left" vertical="center"/>
      <protection locked="0"/>
    </xf>
    <xf numFmtId="165" fontId="7" fillId="6" borderId="6" xfId="1" applyFont="1" applyFill="1" applyBorder="1" applyAlignment="1" applyProtection="1">
      <alignment horizontal="right" vertical="center"/>
      <protection locked="0"/>
    </xf>
    <xf numFmtId="165" fontId="3" fillId="0" borderId="0" xfId="1" applyFont="1" applyAlignment="1" applyProtection="1">
      <alignment horizontal="right" vertical="center"/>
      <protection locked="0"/>
    </xf>
    <xf numFmtId="3" fontId="7" fillId="6" borderId="6" xfId="6" applyNumberFormat="1" applyFont="1" applyFill="1" applyBorder="1" applyAlignment="1" applyProtection="1">
      <alignment horizontal="right" vertical="center"/>
      <protection locked="0"/>
    </xf>
    <xf numFmtId="165" fontId="7" fillId="0" borderId="7" xfId="3" quotePrefix="1" applyFont="1" applyFill="1" applyBorder="1" applyAlignment="1" applyProtection="1">
      <alignment horizontal="right" vertical="center"/>
      <protection locked="0"/>
    </xf>
    <xf numFmtId="165" fontId="7" fillId="0" borderId="7" xfId="3" quotePrefix="1" applyFont="1" applyBorder="1" applyAlignment="1" applyProtection="1">
      <alignment horizontal="right" vertical="center"/>
      <protection locked="0"/>
    </xf>
    <xf numFmtId="165" fontId="7" fillId="0" borderId="7" xfId="1" quotePrefix="1" applyFont="1" applyFill="1" applyBorder="1" applyAlignment="1" applyProtection="1">
      <alignment horizontal="right" vertical="center"/>
      <protection locked="0"/>
    </xf>
    <xf numFmtId="4" fontId="7" fillId="0" borderId="7" xfId="6" quotePrefix="1" applyNumberFormat="1" applyFont="1" applyBorder="1" applyAlignment="1" applyProtection="1">
      <alignment horizontal="right" vertical="center"/>
      <protection locked="0"/>
    </xf>
    <xf numFmtId="3" fontId="10" fillId="5" borderId="7" xfId="6" quotePrefix="1" applyNumberFormat="1" applyFont="1" applyFill="1" applyBorder="1" applyAlignment="1" applyProtection="1">
      <alignment horizontal="right" vertical="center"/>
      <protection locked="0"/>
    </xf>
    <xf numFmtId="3" fontId="7" fillId="6" borderId="7" xfId="6" quotePrefix="1" applyNumberFormat="1" applyFont="1" applyFill="1" applyBorder="1" applyAlignment="1" applyProtection="1">
      <alignment horizontal="left" vertical="center"/>
      <protection locked="0"/>
    </xf>
    <xf numFmtId="3" fontId="10" fillId="7" borderId="7" xfId="6" applyNumberFormat="1" applyFont="1" applyFill="1" applyBorder="1" applyAlignment="1" applyProtection="1">
      <alignment horizontal="left" vertical="center"/>
      <protection locked="0"/>
    </xf>
    <xf numFmtId="4" fontId="10" fillId="7" borderId="7" xfId="6" applyNumberFormat="1" applyFont="1" applyFill="1" applyBorder="1" applyAlignment="1" applyProtection="1">
      <alignment horizontal="right" vertical="center"/>
      <protection locked="0"/>
    </xf>
    <xf numFmtId="168" fontId="10" fillId="7" borderId="7" xfId="3" applyNumberFormat="1" applyFont="1" applyFill="1" applyBorder="1" applyAlignment="1" applyProtection="1">
      <alignment horizontal="right" vertical="center"/>
      <protection locked="0"/>
    </xf>
    <xf numFmtId="3" fontId="10" fillId="7" borderId="7" xfId="6" applyNumberFormat="1" applyFont="1" applyFill="1" applyBorder="1" applyAlignment="1" applyProtection="1">
      <alignment horizontal="right" vertical="center"/>
      <protection locked="0"/>
    </xf>
    <xf numFmtId="1" fontId="3" fillId="0" borderId="0" xfId="6" applyProtection="1">
      <protection locked="0"/>
    </xf>
    <xf numFmtId="3" fontId="3" fillId="0" borderId="0" xfId="0" applyNumberFormat="1" applyFont="1" applyProtection="1">
      <protection locked="0"/>
    </xf>
    <xf numFmtId="168" fontId="7" fillId="0" borderId="7" xfId="3" quotePrefix="1" applyNumberFormat="1" applyFont="1" applyFill="1" applyBorder="1" applyAlignment="1" applyProtection="1">
      <alignment horizontal="right" vertical="center"/>
      <protection locked="0"/>
    </xf>
    <xf numFmtId="168" fontId="7" fillId="0" borderId="7" xfId="1" quotePrefix="1" applyNumberFormat="1" applyFont="1" applyFill="1" applyBorder="1" applyAlignment="1" applyProtection="1">
      <alignment horizontal="center" vertical="center"/>
      <protection locked="0"/>
    </xf>
    <xf numFmtId="165" fontId="7" fillId="0" borderId="7" xfId="3" quotePrefix="1" applyFont="1" applyFill="1" applyBorder="1" applyAlignment="1" applyProtection="1">
      <alignment horizontal="center" vertical="center"/>
      <protection locked="0"/>
    </xf>
    <xf numFmtId="165" fontId="7" fillId="6" borderId="6" xfId="3" applyFont="1" applyFill="1" applyBorder="1" applyAlignment="1" applyProtection="1">
      <alignment horizontal="right" vertical="center"/>
      <protection locked="0"/>
    </xf>
    <xf numFmtId="4" fontId="3" fillId="0" borderId="0" xfId="0" applyNumberFormat="1" applyFont="1" applyAlignment="1" applyProtection="1">
      <alignment horizontal="right" vertical="center"/>
      <protection locked="0"/>
    </xf>
    <xf numFmtId="4" fontId="7" fillId="0" borderId="0" xfId="0" applyNumberFormat="1" applyFont="1" applyAlignment="1" applyProtection="1">
      <alignment horizontal="right" vertical="center"/>
      <protection locked="0"/>
    </xf>
    <xf numFmtId="4" fontId="7" fillId="6" borderId="6" xfId="6" applyNumberFormat="1" applyFont="1" applyFill="1" applyBorder="1" applyAlignment="1" applyProtection="1">
      <alignment horizontal="right" vertical="center"/>
      <protection locked="0"/>
    </xf>
    <xf numFmtId="4" fontId="7" fillId="6" borderId="6" xfId="1" applyNumberFormat="1" applyFont="1" applyFill="1" applyBorder="1" applyAlignment="1" applyProtection="1">
      <alignment horizontal="right" vertical="center"/>
      <protection locked="0"/>
    </xf>
    <xf numFmtId="3" fontId="3" fillId="0" borderId="7" xfId="6" quotePrefix="1" applyNumberFormat="1" applyBorder="1" applyAlignment="1" applyProtection="1">
      <alignment horizontal="center" vertical="center"/>
      <protection locked="0"/>
    </xf>
    <xf numFmtId="168" fontId="3" fillId="0" borderId="0" xfId="1" applyNumberFormat="1" applyFont="1" applyFill="1" applyAlignment="1" applyProtection="1">
      <alignment horizontal="right" vertical="center"/>
      <protection locked="0"/>
    </xf>
    <xf numFmtId="168" fontId="3" fillId="0" borderId="7" xfId="1" quotePrefix="1" applyNumberFormat="1" applyFont="1" applyFill="1" applyBorder="1" applyAlignment="1" applyProtection="1">
      <alignment horizontal="right" vertical="center"/>
      <protection locked="0"/>
    </xf>
    <xf numFmtId="165" fontId="0" fillId="0" borderId="0" xfId="1" applyFont="1"/>
    <xf numFmtId="4" fontId="3" fillId="0" borderId="0" xfId="0" applyNumberFormat="1" applyFont="1" applyProtection="1">
      <protection locked="0"/>
    </xf>
    <xf numFmtId="0" fontId="14" fillId="0" borderId="0" xfId="0" applyFont="1" applyAlignment="1">
      <alignment vertical="center"/>
    </xf>
    <xf numFmtId="4" fontId="7" fillId="0" borderId="7" xfId="3" quotePrefix="1" applyNumberFormat="1" applyFont="1" applyBorder="1" applyAlignment="1" applyProtection="1">
      <alignment horizontal="right" vertical="center"/>
      <protection locked="0"/>
    </xf>
    <xf numFmtId="165" fontId="10" fillId="7" borderId="7" xfId="3" applyFont="1" applyFill="1" applyBorder="1" applyAlignment="1" applyProtection="1">
      <alignment horizontal="right" vertical="center"/>
      <protection locked="0"/>
    </xf>
    <xf numFmtId="165" fontId="7" fillId="0" borderId="7" xfId="3" applyFont="1" applyFill="1" applyBorder="1" applyAlignment="1" applyProtection="1">
      <alignment horizontal="right" vertical="center"/>
      <protection locked="0"/>
    </xf>
    <xf numFmtId="165" fontId="7" fillId="8" borderId="0" xfId="1" applyFont="1" applyFill="1" applyProtection="1">
      <protection locked="0"/>
    </xf>
    <xf numFmtId="165" fontId="3" fillId="0" borderId="0" xfId="1" applyFont="1" applyProtection="1">
      <protection locked="0"/>
    </xf>
    <xf numFmtId="165" fontId="7" fillId="0" borderId="0" xfId="1" applyFont="1" applyProtection="1">
      <protection locked="0"/>
    </xf>
    <xf numFmtId="165" fontId="3" fillId="9" borderId="0" xfId="1" applyFont="1" applyFill="1" applyProtection="1">
      <protection locked="0"/>
    </xf>
    <xf numFmtId="165" fontId="3" fillId="0" borderId="0" xfId="0" applyNumberFormat="1" applyFont="1" applyAlignment="1" applyProtection="1">
      <alignment horizontal="center" vertical="center"/>
      <protection locked="0"/>
    </xf>
    <xf numFmtId="165" fontId="3" fillId="0" borderId="0" xfId="0" applyNumberFormat="1" applyFont="1" applyProtection="1">
      <protection locked="0"/>
    </xf>
    <xf numFmtId="0" fontId="15" fillId="0" borderId="0" xfId="0" applyFont="1"/>
    <xf numFmtId="171" fontId="7" fillId="14" borderId="0" xfId="0" applyNumberFormat="1" applyFont="1" applyFill="1" applyProtection="1">
      <protection locked="0"/>
    </xf>
    <xf numFmtId="165" fontId="7" fillId="8" borderId="7" xfId="3" quotePrefix="1" applyFont="1" applyFill="1" applyBorder="1" applyAlignment="1" applyProtection="1">
      <alignment horizontal="right" vertical="center"/>
      <protection locked="0"/>
    </xf>
    <xf numFmtId="0" fontId="3" fillId="8" borderId="0" xfId="0" applyFont="1" applyFill="1" applyAlignment="1" applyProtection="1">
      <alignment horizontal="right" vertical="center"/>
      <protection locked="0"/>
    </xf>
    <xf numFmtId="3" fontId="3" fillId="8" borderId="7" xfId="6" quotePrefix="1" applyNumberFormat="1" applyFill="1" applyBorder="1" applyAlignment="1" applyProtection="1">
      <alignment horizontal="right" vertical="center"/>
      <protection locked="0"/>
    </xf>
    <xf numFmtId="165" fontId="7" fillId="7" borderId="7" xfId="1" applyFont="1" applyFill="1" applyBorder="1" applyAlignment="1" applyProtection="1">
      <alignment horizontal="right" vertical="center"/>
      <protection locked="0"/>
    </xf>
    <xf numFmtId="165" fontId="7" fillId="0" borderId="7" xfId="1" applyFont="1" applyBorder="1" applyAlignment="1" applyProtection="1">
      <alignment horizontal="right" vertical="center"/>
      <protection locked="0"/>
    </xf>
    <xf numFmtId="3" fontId="7" fillId="0" borderId="7" xfId="6" applyNumberFormat="1" applyFont="1" applyBorder="1" applyAlignment="1" applyProtection="1">
      <alignment horizontal="left" vertical="center"/>
      <protection locked="0"/>
    </xf>
    <xf numFmtId="3" fontId="7" fillId="0" borderId="9" xfId="6" applyNumberFormat="1" applyFont="1" applyBorder="1" applyAlignment="1" applyProtection="1">
      <alignment horizontal="right" vertical="center"/>
      <protection locked="0"/>
    </xf>
    <xf numFmtId="168" fontId="7" fillId="0" borderId="0" xfId="0" applyNumberFormat="1" applyFont="1" applyAlignment="1" applyProtection="1">
      <alignment horizontal="right" vertical="center"/>
      <protection locked="0"/>
    </xf>
    <xf numFmtId="3" fontId="7" fillId="0" borderId="7" xfId="6" quotePrefix="1" applyNumberFormat="1" applyFont="1" applyBorder="1" applyAlignment="1" applyProtection="1">
      <alignment horizontal="center" vertical="center"/>
      <protection locked="0"/>
    </xf>
    <xf numFmtId="166" fontId="7" fillId="6" borderId="6" xfId="4" applyFont="1" applyFill="1" applyBorder="1" applyAlignment="1" applyProtection="1">
      <alignment horizontal="right" vertical="center"/>
      <protection locked="0"/>
    </xf>
    <xf numFmtId="3" fontId="7" fillId="7" borderId="7" xfId="6" applyNumberFormat="1" applyFont="1" applyFill="1" applyBorder="1" applyAlignment="1" applyProtection="1">
      <alignment horizontal="right" vertical="center"/>
      <protection locked="0"/>
    </xf>
    <xf numFmtId="169" fontId="7" fillId="7" borderId="7" xfId="4" applyNumberFormat="1" applyFont="1" applyFill="1" applyBorder="1" applyAlignment="1" applyProtection="1">
      <alignment horizontal="right" vertical="center"/>
      <protection locked="0"/>
    </xf>
    <xf numFmtId="4" fontId="7" fillId="7" borderId="7" xfId="6" applyNumberFormat="1" applyFont="1" applyFill="1" applyBorder="1" applyAlignment="1" applyProtection="1">
      <alignment horizontal="right" vertical="center"/>
      <protection locked="0"/>
    </xf>
    <xf numFmtId="170" fontId="7" fillId="0" borderId="7" xfId="6" quotePrefix="1" applyNumberFormat="1" applyFont="1" applyBorder="1" applyAlignment="1" applyProtection="1">
      <alignment horizontal="right" vertical="center"/>
      <protection locked="0"/>
    </xf>
    <xf numFmtId="165" fontId="3" fillId="8" borderId="0" xfId="1" applyFont="1" applyFill="1" applyProtection="1">
      <protection locked="0"/>
    </xf>
    <xf numFmtId="2" fontId="3" fillId="0" borderId="0" xfId="0" applyNumberFormat="1" applyFont="1" applyProtection="1">
      <protection locked="0"/>
    </xf>
    <xf numFmtId="0" fontId="0" fillId="0" borderId="2" xfId="0" applyBorder="1" applyProtection="1">
      <protection locked="0"/>
    </xf>
    <xf numFmtId="165" fontId="3" fillId="0" borderId="0" xfId="1" applyFont="1" applyAlignment="1" applyProtection="1">
      <alignment horizontal="center" vertical="center"/>
      <protection locked="0"/>
    </xf>
    <xf numFmtId="165" fontId="0" fillId="0" borderId="2" xfId="1" applyFont="1" applyFill="1" applyBorder="1" applyProtection="1">
      <protection locked="0"/>
    </xf>
    <xf numFmtId="174" fontId="3" fillId="0" borderId="0" xfId="0" applyNumberFormat="1" applyFont="1" applyAlignment="1" applyProtection="1">
      <alignment horizontal="center" vertical="center"/>
      <protection locked="0"/>
    </xf>
    <xf numFmtId="0" fontId="0" fillId="0" borderId="0" xfId="0" applyAlignment="1">
      <alignment vertical="center"/>
    </xf>
    <xf numFmtId="165" fontId="32" fillId="0" borderId="0" xfId="1" applyFont="1"/>
    <xf numFmtId="0" fontId="32" fillId="0" borderId="0" xfId="0" applyFont="1"/>
    <xf numFmtId="165" fontId="32" fillId="48" borderId="0" xfId="1" applyFont="1" applyFill="1"/>
    <xf numFmtId="0" fontId="32" fillId="48" borderId="0" xfId="0" applyFont="1" applyFill="1"/>
    <xf numFmtId="0" fontId="31" fillId="0" borderId="0" xfId="0" applyFont="1"/>
    <xf numFmtId="165" fontId="7" fillId="15" borderId="9" xfId="1" applyFont="1" applyFill="1" applyBorder="1" applyAlignment="1" applyProtection="1">
      <alignment horizontal="right" vertical="center"/>
      <protection locked="0"/>
    </xf>
    <xf numFmtId="175" fontId="3" fillId="0" borderId="0" xfId="1" applyNumberFormat="1" applyFont="1" applyAlignment="1" applyProtection="1">
      <alignment horizontal="right" vertical="center"/>
      <protection locked="0"/>
    </xf>
    <xf numFmtId="0" fontId="34" fillId="3" borderId="19" xfId="0" applyFont="1" applyFill="1" applyBorder="1" applyAlignment="1">
      <alignment vertical="center"/>
    </xf>
    <xf numFmtId="0" fontId="34" fillId="3" borderId="20" xfId="0" applyFont="1" applyFill="1" applyBorder="1" applyAlignment="1">
      <alignment horizontal="center" vertical="center" wrapText="1"/>
    </xf>
    <xf numFmtId="0" fontId="15" fillId="0" borderId="2" xfId="0" applyFont="1" applyBorder="1" applyProtection="1">
      <protection locked="0"/>
    </xf>
    <xf numFmtId="0" fontId="15" fillId="0" borderId="2" xfId="0" quotePrefix="1" applyFont="1" applyBorder="1" applyProtection="1">
      <protection locked="0"/>
    </xf>
    <xf numFmtId="165" fontId="0" fillId="0" borderId="2" xfId="1" applyFont="1" applyBorder="1" applyProtection="1">
      <protection locked="0"/>
    </xf>
    <xf numFmtId="165" fontId="32" fillId="10" borderId="0" xfId="1" applyFont="1" applyFill="1"/>
    <xf numFmtId="0" fontId="15" fillId="10" borderId="2" xfId="0" applyFont="1" applyFill="1" applyBorder="1" applyProtection="1">
      <protection locked="0"/>
    </xf>
    <xf numFmtId="0" fontId="32" fillId="10" borderId="0" xfId="0" applyFont="1" applyFill="1"/>
    <xf numFmtId="0" fontId="35" fillId="47" borderId="21" xfId="0" applyFont="1" applyFill="1" applyBorder="1" applyAlignment="1">
      <alignment horizontal="center" vertical="center"/>
    </xf>
    <xf numFmtId="0" fontId="34" fillId="3" borderId="22" xfId="0" applyFont="1" applyFill="1" applyBorder="1" applyAlignment="1">
      <alignment horizontal="center" vertical="center" wrapText="1"/>
    </xf>
    <xf numFmtId="0" fontId="34" fillId="3" borderId="23" xfId="0" applyFont="1" applyFill="1" applyBorder="1" applyAlignment="1">
      <alignment horizontal="center" vertical="center" wrapText="1"/>
    </xf>
    <xf numFmtId="0" fontId="34" fillId="3" borderId="24" xfId="0" applyFont="1" applyFill="1" applyBorder="1" applyAlignment="1">
      <alignment horizontal="center" vertical="center" wrapText="1"/>
    </xf>
    <xf numFmtId="39" fontId="16" fillId="51" borderId="10" xfId="0" applyNumberFormat="1" applyFont="1" applyFill="1" applyBorder="1" applyAlignment="1">
      <alignment horizontal="right" vertical="top"/>
    </xf>
    <xf numFmtId="4" fontId="37" fillId="0" borderId="7" xfId="0" applyNumberFormat="1" applyFont="1" applyBorder="1" applyAlignment="1">
      <alignment horizontal="center"/>
    </xf>
    <xf numFmtId="168" fontId="0" fillId="0" borderId="2" xfId="1" applyNumberFormat="1" applyFont="1" applyFill="1" applyBorder="1" applyProtection="1">
      <protection locked="0"/>
    </xf>
    <xf numFmtId="168" fontId="0" fillId="0" borderId="2" xfId="1" applyNumberFormat="1" applyFont="1" applyBorder="1" applyProtection="1">
      <protection locked="0"/>
    </xf>
    <xf numFmtId="165" fontId="15" fillId="0" borderId="2" xfId="1" applyFont="1" applyFill="1" applyBorder="1" applyProtection="1">
      <protection locked="0"/>
    </xf>
    <xf numFmtId="168" fontId="32" fillId="0" borderId="0" xfId="1" applyNumberFormat="1" applyFont="1"/>
    <xf numFmtId="168" fontId="31" fillId="0" borderId="0" xfId="1" applyNumberFormat="1" applyFont="1"/>
    <xf numFmtId="165" fontId="3" fillId="52" borderId="0" xfId="1" applyFont="1" applyFill="1" applyProtection="1">
      <protection locked="0"/>
    </xf>
    <xf numFmtId="166" fontId="36" fillId="55" borderId="0" xfId="49" applyFont="1" applyFill="1" applyAlignment="1">
      <alignment horizontal="center"/>
    </xf>
    <xf numFmtId="4" fontId="37" fillId="0" borderId="7" xfId="0" applyNumberFormat="1" applyFont="1" applyBorder="1"/>
    <xf numFmtId="14" fontId="3" fillId="0" borderId="0" xfId="0" applyNumberFormat="1" applyFont="1" applyProtection="1">
      <protection locked="0"/>
    </xf>
    <xf numFmtId="37" fontId="3" fillId="0" borderId="0" xfId="0" applyNumberFormat="1" applyFont="1" applyProtection="1">
      <protection locked="0"/>
    </xf>
    <xf numFmtId="168" fontId="15" fillId="0" borderId="2" xfId="1" applyNumberFormat="1" applyFont="1" applyBorder="1" applyProtection="1">
      <protection locked="0"/>
    </xf>
    <xf numFmtId="168" fontId="0" fillId="50" borderId="2" xfId="1" applyNumberFormat="1" applyFont="1" applyFill="1" applyBorder="1" applyProtection="1">
      <protection locked="0"/>
    </xf>
    <xf numFmtId="168" fontId="31" fillId="50" borderId="0" xfId="1" applyNumberFormat="1" applyFont="1" applyFill="1"/>
    <xf numFmtId="168" fontId="3" fillId="0" borderId="0" xfId="1" applyNumberFormat="1" applyFont="1" applyProtection="1">
      <protection locked="0"/>
    </xf>
    <xf numFmtId="165" fontId="15" fillId="56" borderId="2" xfId="1" applyFont="1" applyFill="1" applyBorder="1" applyProtection="1">
      <protection locked="0"/>
    </xf>
    <xf numFmtId="165" fontId="15" fillId="49" borderId="2" xfId="1" applyFont="1" applyFill="1" applyBorder="1" applyProtection="1">
      <protection locked="0"/>
    </xf>
    <xf numFmtId="165" fontId="15" fillId="13" borderId="2" xfId="1" applyFont="1" applyFill="1" applyBorder="1" applyProtection="1">
      <protection locked="0"/>
    </xf>
    <xf numFmtId="165" fontId="32" fillId="13" borderId="0" xfId="1" applyFont="1" applyFill="1"/>
    <xf numFmtId="174" fontId="3" fillId="0" borderId="0" xfId="0" applyNumberFormat="1" applyFont="1" applyProtection="1">
      <protection locked="0"/>
    </xf>
    <xf numFmtId="165" fontId="3" fillId="9" borderId="7" xfId="1" quotePrefix="1" applyFont="1" applyFill="1" applyBorder="1" applyAlignment="1" applyProtection="1">
      <alignment horizontal="right" vertical="center"/>
      <protection locked="0"/>
    </xf>
    <xf numFmtId="165" fontId="3" fillId="13" borderId="7" xfId="1" quotePrefix="1" applyFont="1" applyFill="1" applyBorder="1" applyAlignment="1" applyProtection="1">
      <alignment horizontal="center" vertical="center"/>
      <protection locked="0"/>
    </xf>
    <xf numFmtId="165" fontId="3" fillId="0" borderId="7" xfId="1" quotePrefix="1" applyFont="1" applyFill="1" applyBorder="1" applyAlignment="1" applyProtection="1">
      <alignment horizontal="center" vertical="center"/>
      <protection locked="0"/>
    </xf>
    <xf numFmtId="175" fontId="3" fillId="0" borderId="7" xfId="1" quotePrefix="1" applyNumberFormat="1" applyFont="1" applyFill="1" applyBorder="1" applyAlignment="1" applyProtection="1">
      <alignment horizontal="center" vertical="center"/>
      <protection locked="0"/>
    </xf>
    <xf numFmtId="165" fontId="3" fillId="12" borderId="7" xfId="1" quotePrefix="1" applyFont="1" applyFill="1" applyBorder="1" applyAlignment="1" applyProtection="1">
      <alignment horizontal="center" vertical="center"/>
      <protection locked="0"/>
    </xf>
    <xf numFmtId="165" fontId="3" fillId="0" borderId="7" xfId="1" quotePrefix="1" applyFont="1" applyBorder="1" applyAlignment="1" applyProtection="1">
      <alignment horizontal="right" vertical="center"/>
      <protection locked="0"/>
    </xf>
    <xf numFmtId="165" fontId="7" fillId="4" borderId="9" xfId="1" applyFont="1" applyFill="1" applyBorder="1" applyAlignment="1" applyProtection="1">
      <alignment horizontal="right" vertical="center"/>
      <protection locked="0"/>
    </xf>
    <xf numFmtId="165" fontId="7" fillId="4" borderId="7" xfId="1" applyFont="1" applyFill="1" applyBorder="1" applyAlignment="1" applyProtection="1">
      <alignment horizontal="right" vertical="center"/>
      <protection locked="0"/>
    </xf>
    <xf numFmtId="168" fontId="16" fillId="54" borderId="10" xfId="1" applyNumberFormat="1" applyFont="1" applyFill="1" applyBorder="1" applyAlignment="1">
      <alignment horizontal="right" vertical="top"/>
    </xf>
    <xf numFmtId="166" fontId="1" fillId="0" borderId="2" xfId="115" applyFont="1" applyFill="1" applyBorder="1" applyProtection="1">
      <protection locked="0"/>
    </xf>
    <xf numFmtId="0" fontId="37" fillId="53" borderId="7" xfId="0" applyFont="1" applyFill="1" applyBorder="1" applyAlignment="1">
      <alignment horizontal="center"/>
    </xf>
    <xf numFmtId="0" fontId="0" fillId="0" borderId="2" xfId="0" quotePrefix="1" applyBorder="1" applyProtection="1">
      <protection locked="0"/>
    </xf>
    <xf numFmtId="165" fontId="0" fillId="0" borderId="2" xfId="1" quotePrefix="1" applyFont="1" applyFill="1" applyBorder="1" applyProtection="1">
      <protection locked="0"/>
    </xf>
    <xf numFmtId="165" fontId="15" fillId="0" borderId="2" xfId="1" quotePrefix="1" applyFont="1" applyFill="1" applyBorder="1" applyProtection="1">
      <protection locked="0"/>
    </xf>
    <xf numFmtId="165" fontId="15" fillId="0" borderId="0" xfId="1" applyFont="1"/>
    <xf numFmtId="165" fontId="33" fillId="0" borderId="0" xfId="1" applyFont="1" applyFill="1"/>
    <xf numFmtId="165" fontId="15" fillId="56" borderId="0" xfId="1" applyFont="1" applyFill="1"/>
    <xf numFmtId="165" fontId="3" fillId="11" borderId="7" xfId="1" quotePrefix="1" applyFont="1" applyFill="1" applyBorder="1" applyAlignment="1" applyProtection="1">
      <alignment horizontal="center" vertical="center"/>
      <protection locked="0"/>
    </xf>
    <xf numFmtId="1" fontId="4" fillId="0" borderId="0" xfId="6" applyFont="1" applyAlignment="1" applyProtection="1">
      <alignment horizontal="center"/>
      <protection locked="0"/>
    </xf>
    <xf numFmtId="0" fontId="6" fillId="0" borderId="3" xfId="0" applyFont="1" applyBorder="1" applyAlignment="1" applyProtection="1">
      <alignment horizontal="left" vertical="center"/>
      <protection locked="0"/>
    </xf>
    <xf numFmtId="0" fontId="6" fillId="0" borderId="4" xfId="0" applyFont="1" applyBorder="1" applyAlignment="1" applyProtection="1">
      <alignment horizontal="left" vertical="center"/>
      <protection locked="0"/>
    </xf>
    <xf numFmtId="0" fontId="6" fillId="0" borderId="5" xfId="0" applyFont="1" applyBorder="1" applyAlignment="1" applyProtection="1">
      <alignment horizontal="left" vertical="center"/>
      <protection locked="0"/>
    </xf>
    <xf numFmtId="0" fontId="8" fillId="0" borderId="7"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protection locked="0"/>
    </xf>
    <xf numFmtId="17" fontId="7" fillId="0" borderId="7" xfId="0" applyNumberFormat="1" applyFont="1" applyBorder="1" applyAlignment="1" applyProtection="1">
      <alignment horizontal="center" vertical="center" wrapText="1"/>
      <protection locked="0"/>
    </xf>
    <xf numFmtId="4" fontId="7" fillId="0" borderId="3" xfId="0" applyNumberFormat="1" applyFont="1" applyBorder="1" applyAlignment="1" applyProtection="1">
      <alignment horizontal="center" vertical="center"/>
      <protection locked="0"/>
    </xf>
    <xf numFmtId="4" fontId="7" fillId="0" borderId="5" xfId="0" applyNumberFormat="1" applyFont="1" applyBorder="1" applyAlignment="1" applyProtection="1">
      <alignment horizontal="center" vertical="center"/>
      <protection locked="0"/>
    </xf>
    <xf numFmtId="4" fontId="7" fillId="0" borderId="7" xfId="0" applyNumberFormat="1"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7" fillId="2" borderId="4" xfId="0" applyFont="1" applyFill="1" applyBorder="1" applyAlignment="1" applyProtection="1">
      <alignment horizontal="center" vertical="center"/>
      <protection locked="0"/>
    </xf>
    <xf numFmtId="0" fontId="7" fillId="2" borderId="5" xfId="0" applyFont="1" applyFill="1" applyBorder="1" applyAlignment="1" applyProtection="1">
      <alignment horizontal="center" vertical="center"/>
      <protection locked="0"/>
    </xf>
    <xf numFmtId="17" fontId="7" fillId="0" borderId="7" xfId="0" applyNumberFormat="1" applyFont="1" applyBorder="1" applyAlignment="1" applyProtection="1">
      <alignment horizontal="center" vertical="center"/>
      <protection locked="0"/>
    </xf>
  </cellXfs>
  <cellStyles count="116">
    <cellStyle name="20% - Énfasis1" xfId="26" builtinId="30" customBuiltin="1"/>
    <cellStyle name="20% - Énfasis2" xfId="30" builtinId="34" customBuiltin="1"/>
    <cellStyle name="20% - Énfasis3" xfId="34" builtinId="38" customBuiltin="1"/>
    <cellStyle name="20% - Énfasis4" xfId="38" builtinId="42" customBuiltin="1"/>
    <cellStyle name="20% - Énfasis5" xfId="42" builtinId="46" customBuiltin="1"/>
    <cellStyle name="20% - Énfasis6" xfId="46" builtinId="50" customBuiltin="1"/>
    <cellStyle name="40% - Énfasis1" xfId="27" builtinId="31" customBuiltin="1"/>
    <cellStyle name="40% - Énfasis2" xfId="31" builtinId="35" customBuiltin="1"/>
    <cellStyle name="40% - Énfasis3" xfId="35" builtinId="39" customBuiltin="1"/>
    <cellStyle name="40% - Énfasis4" xfId="39" builtinId="43" customBuiltin="1"/>
    <cellStyle name="40% - Énfasis5" xfId="43" builtinId="47" customBuiltin="1"/>
    <cellStyle name="40% - Énfasis6" xfId="47" builtinId="51" customBuiltin="1"/>
    <cellStyle name="60% - Énfasis1" xfId="28" builtinId="32" customBuiltin="1"/>
    <cellStyle name="60% - Énfasis2" xfId="32" builtinId="36" customBuiltin="1"/>
    <cellStyle name="60% - Énfasis3" xfId="36" builtinId="40" customBuiltin="1"/>
    <cellStyle name="60% - Énfasis4" xfId="40" builtinId="44" customBuiltin="1"/>
    <cellStyle name="60% - Énfasis5" xfId="44" builtinId="48" customBuiltin="1"/>
    <cellStyle name="60% - Énfasis6" xfId="48" builtinId="52" customBuiltin="1"/>
    <cellStyle name="Bueno" xfId="13" builtinId="26" customBuiltin="1"/>
    <cellStyle name="Cálculo" xfId="18" builtinId="22" customBuiltin="1"/>
    <cellStyle name="Celda de comprobación" xfId="20" builtinId="23" customBuiltin="1"/>
    <cellStyle name="Celda vinculada" xfId="19" builtinId="24" customBuiltin="1"/>
    <cellStyle name="Encabezado 1" xfId="9" builtinId="16" customBuiltin="1"/>
    <cellStyle name="Encabezado 4" xfId="12" builtinId="19" customBuiltin="1"/>
    <cellStyle name="Énfasis1" xfId="25" builtinId="29" customBuiltin="1"/>
    <cellStyle name="Énfasis2" xfId="29" builtinId="33" customBuiltin="1"/>
    <cellStyle name="Énfasis3" xfId="33" builtinId="37" customBuiltin="1"/>
    <cellStyle name="Énfasis4" xfId="37" builtinId="41" customBuiltin="1"/>
    <cellStyle name="Énfasis5" xfId="41" builtinId="45" customBuiltin="1"/>
    <cellStyle name="Énfasis6" xfId="45" builtinId="49" customBuiltin="1"/>
    <cellStyle name="Entrada" xfId="16" builtinId="20" customBuiltin="1"/>
    <cellStyle name="Incorrecto" xfId="14" builtinId="27" customBuiltin="1"/>
    <cellStyle name="Millares" xfId="1" builtinId="3"/>
    <cellStyle name="Millares [0] 2" xfId="2" xr:uid="{8CCB4468-2910-44DE-99A2-86530D6D4DAF}"/>
    <cellStyle name="Millares [0] 2 2" xfId="68" xr:uid="{BC125E41-C8BE-45D7-BCE1-42A16F1D71BF}"/>
    <cellStyle name="Millares [0] 3" xfId="64" xr:uid="{63264F82-3190-4726-B04A-825EC702727F}"/>
    <cellStyle name="Millares 10" xfId="72" xr:uid="{E3DC15EC-82B7-4497-AF7D-7CDE37C9A80D}"/>
    <cellStyle name="Millares 11" xfId="73" xr:uid="{7A95FD3C-7E26-4156-BC13-7498DEC489A3}"/>
    <cellStyle name="Millares 12" xfId="74" xr:uid="{FEEDE807-EF1E-4620-AC2C-9A8E5428B12C}"/>
    <cellStyle name="Millares 13" xfId="75" xr:uid="{4442FD9A-9CDB-4414-ADC2-860D493A74FC}"/>
    <cellStyle name="Millares 14" xfId="76" xr:uid="{8198C766-4493-4EBF-930C-EC493B559A26}"/>
    <cellStyle name="Millares 15" xfId="77" xr:uid="{BBE35E63-E919-4352-A2DD-F257CC1176FE}"/>
    <cellStyle name="Millares 16" xfId="78" xr:uid="{8B1E4999-3BBA-481B-8443-313407B5F69E}"/>
    <cellStyle name="Millares 17" xfId="79" xr:uid="{6FE2FB8E-C60A-408B-BB6C-BB92B4DA1CAE}"/>
    <cellStyle name="Millares 18" xfId="80" xr:uid="{BF7E38E4-75F1-4324-830E-2A4EE0D30DF9}"/>
    <cellStyle name="Millares 19" xfId="81" xr:uid="{76882A01-65A2-4376-8AAF-EAC7B95E0C95}"/>
    <cellStyle name="Millares 2" xfId="3" xr:uid="{9CADCEE6-760C-419C-9643-7A647FDDD510}"/>
    <cellStyle name="Millares 2 2" xfId="67" xr:uid="{5514BF8C-861A-4A5E-A60B-E7E699EF7FE8}"/>
    <cellStyle name="Millares 2 3" xfId="65" xr:uid="{699AACCF-6946-4508-B29D-EFD09F664AA6}"/>
    <cellStyle name="Millares 2 4" xfId="50" xr:uid="{C1D93BE9-1FEA-4AF9-8F63-7B86CF4379BA}"/>
    <cellStyle name="Millares 20" xfId="82" xr:uid="{085D0BA5-4EA6-4F89-A0D1-2E30B166FCA0}"/>
    <cellStyle name="Millares 21" xfId="83" xr:uid="{A797D51E-D516-455B-B2AD-66176EE6FD49}"/>
    <cellStyle name="Millares 22" xfId="84" xr:uid="{25FEBF66-B3BC-45A1-B704-DB67F7BDABCB}"/>
    <cellStyle name="Millares 23" xfId="85" xr:uid="{26D6D5B8-0514-4902-B994-0227ECA4D12C}"/>
    <cellStyle name="Millares 24" xfId="86" xr:uid="{272069F2-07C8-4E28-A9F2-4198DB5D9E6F}"/>
    <cellStyle name="Millares 25" xfId="87" xr:uid="{C01E0D77-E3E3-4AA7-9B63-7F7D612508EA}"/>
    <cellStyle name="Millares 26" xfId="88" xr:uid="{846EFA4C-283A-4B80-8B0E-8231060D65B6}"/>
    <cellStyle name="Millares 27" xfId="89" xr:uid="{32E6E355-C30D-4D2C-A456-FB4F09223609}"/>
    <cellStyle name="Millares 28" xfId="90" xr:uid="{E67599DB-1794-4271-A07C-1357E8E71A84}"/>
    <cellStyle name="Millares 29" xfId="91" xr:uid="{4EF79AA0-4D9D-4CF6-8470-A695FE9956BE}"/>
    <cellStyle name="Millares 3" xfId="4" xr:uid="{C00C92B2-937E-46B8-9056-2C09D0655F7A}"/>
    <cellStyle name="Millares 3 2" xfId="69" xr:uid="{86E24EE6-F510-4A26-A25E-75ABD84DF91E}"/>
    <cellStyle name="Millares 3 3" xfId="63" xr:uid="{139FF5B0-FF79-4E2F-A3AF-22813AE3C3D0}"/>
    <cellStyle name="Millares 30" xfId="92" xr:uid="{3685C0A4-0B57-4819-98A7-CCECA42A71AE}"/>
    <cellStyle name="Millares 31" xfId="93" xr:uid="{6F4D1CB4-7017-4E1F-863A-6DBEE1F1CF41}"/>
    <cellStyle name="Millares 32" xfId="94" xr:uid="{8AF5DA02-7811-4FC5-9EEF-5E3A5C3F1B64}"/>
    <cellStyle name="Millares 33" xfId="95" xr:uid="{54EC0E54-7080-4669-B11D-F5070D2A34D0}"/>
    <cellStyle name="Millares 34" xfId="96" xr:uid="{F243E86D-16C3-46C1-84D4-8CB11C8984CF}"/>
    <cellStyle name="Millares 35" xfId="97" xr:uid="{16090996-BA0E-486B-B6B5-7253828D98D7}"/>
    <cellStyle name="Millares 36" xfId="98" xr:uid="{4E6F6DAE-9535-49B0-B8CE-41E81D6AD503}"/>
    <cellStyle name="Millares 37" xfId="99" xr:uid="{5713DF61-90E8-4AFF-AA3B-C1BA866E5BEE}"/>
    <cellStyle name="Millares 38" xfId="100" xr:uid="{6526A348-343B-4125-9137-146AAEC288E4}"/>
    <cellStyle name="Millares 39" xfId="60" xr:uid="{FFB9D83D-5673-473B-90D1-EBA7732F3F16}"/>
    <cellStyle name="Millares 4" xfId="5" xr:uid="{FD8E93BA-D2D0-4EFF-B6C4-4146A96C6220}"/>
    <cellStyle name="Millares 4 2" xfId="70" xr:uid="{0BE16412-23CD-49A4-BCF2-AB131A9AD7EC}"/>
    <cellStyle name="Millares 40" xfId="62" xr:uid="{F0E09939-1A5C-4783-A052-966AC2258779}"/>
    <cellStyle name="Millares 41" xfId="61" xr:uid="{1BCA4B88-CB3C-4976-A198-AA9DB0D202CF}"/>
    <cellStyle name="Millares 42" xfId="101" xr:uid="{2363C9AB-F92D-43DB-A61F-02AAB1AED616}"/>
    <cellStyle name="Millares 43" xfId="102" xr:uid="{F70E2FBF-FED5-4255-B628-F622EEA33D3B}"/>
    <cellStyle name="Millares 44" xfId="103" xr:uid="{06CE0477-0447-4D0B-B6BB-4AB072D45244}"/>
    <cellStyle name="Millares 45" xfId="104" xr:uid="{85AE4C1A-AAB0-405A-9CAD-2B8B1E3C5C71}"/>
    <cellStyle name="Millares 46" xfId="105" xr:uid="{2AA933E4-D9AE-4A02-AD84-B831FF5ACAE6}"/>
    <cellStyle name="Millares 47" xfId="106" xr:uid="{516D467C-BFF1-4719-BDC1-09544AFEC017}"/>
    <cellStyle name="Millares 48" xfId="107" xr:uid="{95748305-969E-46BF-BA7C-380A54629337}"/>
    <cellStyle name="Millares 49" xfId="108" xr:uid="{F0696E66-AEF7-4EF2-8450-D0463BD33A8D}"/>
    <cellStyle name="Millares 5" xfId="54" xr:uid="{A1ADD995-470E-4D32-85BC-8CD106470B52}"/>
    <cellStyle name="Millares 50" xfId="109" xr:uid="{BA8A67E9-FD46-4DB5-A225-12B2853EE09F}"/>
    <cellStyle name="Millares 51" xfId="110" xr:uid="{95EEE1BB-C307-44E7-A083-901D41765EBD}"/>
    <cellStyle name="Millares 52" xfId="111" xr:uid="{CDB9151F-048A-4730-8915-637B17503B92}"/>
    <cellStyle name="Millares 53" xfId="56" xr:uid="{5F87AB4A-4EC4-42AD-96ED-9BD7D74EFB82}"/>
    <cellStyle name="Millares 54" xfId="55" xr:uid="{0CFF1F66-92D3-4F85-884E-18E1805EA54D}"/>
    <cellStyle name="Millares 55" xfId="49" xr:uid="{FAC12387-2C78-4E71-9D40-CC9FC90F3353}"/>
    <cellStyle name="Millares 56" xfId="52" xr:uid="{CE993766-F1CD-496D-89BC-406B750931A1}"/>
    <cellStyle name="Millares 57" xfId="53" xr:uid="{610AEE8C-A2FB-4F02-BC8D-9DE5F18E9B82}"/>
    <cellStyle name="Millares 58" xfId="51" xr:uid="{4E00A465-3161-4943-A72E-A8629A213DFA}"/>
    <cellStyle name="Millares 59" xfId="112" xr:uid="{59AB8EBE-CF02-46B0-8650-FA16003C426F}"/>
    <cellStyle name="Millares 6" xfId="57" xr:uid="{D3F86E1C-3096-497B-8B9A-DCD620226899}"/>
    <cellStyle name="Millares 60" xfId="113" xr:uid="{415CF201-0627-4E1B-B294-8CB01DF83E4B}"/>
    <cellStyle name="Millares 61" xfId="114" xr:uid="{0B5431EE-561F-4A25-8A53-8C80B2FB4839}"/>
    <cellStyle name="Millares 7" xfId="59" xr:uid="{D2760D1D-509F-4672-9332-4AA4946FED2D}"/>
    <cellStyle name="Millares 8" xfId="58" xr:uid="{0095BCDD-9089-48E5-A1C8-E476B03C3DF3}"/>
    <cellStyle name="Millares 9" xfId="71" xr:uid="{70F887EB-94D1-4C76-8AD9-2C3489AF8374}"/>
    <cellStyle name="Millares_FOCUS" xfId="115" xr:uid="{67940221-5D91-45A4-8835-9D1EDBA50361}"/>
    <cellStyle name="Neutral" xfId="15" builtinId="28" customBuiltin="1"/>
    <cellStyle name="Normal" xfId="0" builtinId="0"/>
    <cellStyle name="Normal 2" xfId="6" xr:uid="{2DD6E384-70EC-4A22-8A93-CF688F2689CE}"/>
    <cellStyle name="Normal 2 2" xfId="66" xr:uid="{2C7EF46E-6287-4C68-AAEE-2F9A8E405284}"/>
    <cellStyle name="Notas" xfId="22" builtinId="10" customBuiltin="1"/>
    <cellStyle name="Salida" xfId="17" builtinId="21" customBuiltin="1"/>
    <cellStyle name="Texto de advertencia" xfId="21" builtinId="11" customBuiltin="1"/>
    <cellStyle name="Texto explicativo" xfId="23" builtinId="53" customBuiltin="1"/>
    <cellStyle name="Título" xfId="8" builtinId="15" customBuiltin="1"/>
    <cellStyle name="Título 1" xfId="7" xr:uid="{7007496C-A1DE-47C1-A7EF-F02654C487FA}"/>
    <cellStyle name="Título 2" xfId="10" builtinId="17" customBuiltin="1"/>
    <cellStyle name="Título 3" xfId="11" builtinId="18" customBuiltin="1"/>
    <cellStyle name="Total" xfId="24" builtinId="25" customBuiltin="1"/>
  </cellStyles>
  <dxfs count="0"/>
  <tableStyles count="1" defaultTableStyle="TableStyleMedium2" defaultPivotStyle="PivotStyleLight16">
    <tableStyle name="Invisible" pivot="0" table="0" count="0" xr9:uid="{B6108D91-18BA-43BA-B1EF-4F10048747E0}"/>
  </tableStyles>
  <colors>
    <mruColors>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2" dT="2023-08-09T22:18:21.64" personId="{00000000-0000-0000-0000-000000000000}" id="{AB13C535-44F1-437E-875D-EF333D87BF6F}">
    <text>Focus euro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73B7-98E6-4613-8477-6BE7B8C9A0E3}">
  <dimension ref="A1:T63384"/>
  <sheetViews>
    <sheetView tabSelected="1" zoomScale="91" zoomScaleNormal="91" workbookViewId="0">
      <selection activeCell="D6" sqref="D6"/>
    </sheetView>
  </sheetViews>
  <sheetFormatPr defaultColWidth="11.42578125" defaultRowHeight="12.75"/>
  <cols>
    <col min="1" max="1" width="1.7109375" style="1" customWidth="1"/>
    <col min="2" max="2" width="35.85546875" style="1" customWidth="1"/>
    <col min="3" max="3" width="1.140625" style="1" customWidth="1"/>
    <col min="4" max="4" width="18.28515625" style="1" customWidth="1"/>
    <col min="5" max="5" width="0.28515625" style="1" customWidth="1"/>
    <col min="6" max="6" width="16.5703125" style="1" customWidth="1"/>
    <col min="7" max="7" width="0.7109375" style="1" customWidth="1"/>
    <col min="8" max="8" width="18" style="1" customWidth="1"/>
    <col min="9" max="9" width="1.140625" style="1" customWidth="1"/>
    <col min="10" max="10" width="15.28515625" style="1" customWidth="1"/>
    <col min="11" max="11" width="0.7109375" style="1" customWidth="1"/>
    <col min="12" max="12" width="15.28515625" style="1" customWidth="1"/>
    <col min="13" max="13" width="1.5703125" style="1" customWidth="1"/>
    <col min="14" max="14" width="15.28515625" style="1" customWidth="1"/>
    <col min="15" max="15" width="24.5703125" style="1" customWidth="1"/>
    <col min="16" max="16" width="17.5703125" style="1" bestFit="1" customWidth="1"/>
    <col min="17" max="17" width="17" style="1" customWidth="1"/>
    <col min="18" max="18" width="18.28515625" style="1" customWidth="1"/>
    <col min="19" max="19" width="13.7109375" style="1" bestFit="1" customWidth="1"/>
    <col min="20" max="20" width="16" style="1" bestFit="1" customWidth="1"/>
    <col min="21" max="125" width="11.42578125" style="1"/>
    <col min="126" max="126" width="1.7109375" style="1" customWidth="1"/>
    <col min="127" max="127" width="45.42578125" style="1" customWidth="1"/>
    <col min="128" max="128" width="1.140625" style="1" customWidth="1"/>
    <col min="129" max="129" width="16.5703125" style="1" customWidth="1"/>
    <col min="130" max="130" width="0.7109375" style="1" customWidth="1"/>
    <col min="131" max="131" width="16.5703125" style="1" customWidth="1"/>
    <col min="132" max="132" width="0.7109375" style="1" customWidth="1"/>
    <col min="133" max="133" width="18" style="1" customWidth="1"/>
    <col min="134" max="134" width="1.140625" style="1" customWidth="1"/>
    <col min="135" max="135" width="15.28515625" style="1" customWidth="1"/>
    <col min="136" max="136" width="0.7109375" style="1" customWidth="1"/>
    <col min="137" max="137" width="15.28515625" style="1" customWidth="1"/>
    <col min="138" max="138" width="0.7109375" style="1" customWidth="1"/>
    <col min="139" max="139" width="15.28515625" style="1" customWidth="1"/>
    <col min="140" max="140" width="14.42578125" style="1" bestFit="1" customWidth="1"/>
    <col min="141" max="143" width="16" style="1" customWidth="1"/>
    <col min="144" max="144" width="14.42578125" style="1" bestFit="1" customWidth="1"/>
    <col min="145" max="381" width="11.42578125" style="1"/>
    <col min="382" max="382" width="1.7109375" style="1" customWidth="1"/>
    <col min="383" max="383" width="45.42578125" style="1" customWidth="1"/>
    <col min="384" max="384" width="1.140625" style="1" customWidth="1"/>
    <col min="385" max="385" width="16.5703125" style="1" customWidth="1"/>
    <col min="386" max="386" width="0.7109375" style="1" customWidth="1"/>
    <col min="387" max="387" width="16.5703125" style="1" customWidth="1"/>
    <col min="388" max="388" width="0.7109375" style="1" customWidth="1"/>
    <col min="389" max="389" width="18" style="1" customWidth="1"/>
    <col min="390" max="390" width="1.140625" style="1" customWidth="1"/>
    <col min="391" max="391" width="15.28515625" style="1" customWidth="1"/>
    <col min="392" max="392" width="0.7109375" style="1" customWidth="1"/>
    <col min="393" max="393" width="15.28515625" style="1" customWidth="1"/>
    <col min="394" max="394" width="0.7109375" style="1" customWidth="1"/>
    <col min="395" max="395" width="15.28515625" style="1" customWidth="1"/>
    <col min="396" max="396" width="14.42578125" style="1" bestFit="1" customWidth="1"/>
    <col min="397" max="399" width="16" style="1" customWidth="1"/>
    <col min="400" max="400" width="14.42578125" style="1" bestFit="1" customWidth="1"/>
    <col min="401" max="637" width="11.42578125" style="1"/>
    <col min="638" max="638" width="1.7109375" style="1" customWidth="1"/>
    <col min="639" max="639" width="45.42578125" style="1" customWidth="1"/>
    <col min="640" max="640" width="1.140625" style="1" customWidth="1"/>
    <col min="641" max="641" width="16.5703125" style="1" customWidth="1"/>
    <col min="642" max="642" width="0.7109375" style="1" customWidth="1"/>
    <col min="643" max="643" width="16.5703125" style="1" customWidth="1"/>
    <col min="644" max="644" width="0.7109375" style="1" customWidth="1"/>
    <col min="645" max="645" width="18" style="1" customWidth="1"/>
    <col min="646" max="646" width="1.140625" style="1" customWidth="1"/>
    <col min="647" max="647" width="15.28515625" style="1" customWidth="1"/>
    <col min="648" max="648" width="0.7109375" style="1" customWidth="1"/>
    <col min="649" max="649" width="15.28515625" style="1" customWidth="1"/>
    <col min="650" max="650" width="0.7109375" style="1" customWidth="1"/>
    <col min="651" max="651" width="15.28515625" style="1" customWidth="1"/>
    <col min="652" max="652" width="14.42578125" style="1" bestFit="1" customWidth="1"/>
    <col min="653" max="655" width="16" style="1" customWidth="1"/>
    <col min="656" max="656" width="14.42578125" style="1" bestFit="1" customWidth="1"/>
    <col min="657" max="893" width="11.42578125" style="1"/>
    <col min="894" max="894" width="1.7109375" style="1" customWidth="1"/>
    <col min="895" max="895" width="45.42578125" style="1" customWidth="1"/>
    <col min="896" max="896" width="1.140625" style="1" customWidth="1"/>
    <col min="897" max="897" width="16.5703125" style="1" customWidth="1"/>
    <col min="898" max="898" width="0.7109375" style="1" customWidth="1"/>
    <col min="899" max="899" width="16.5703125" style="1" customWidth="1"/>
    <col min="900" max="900" width="0.7109375" style="1" customWidth="1"/>
    <col min="901" max="901" width="18" style="1" customWidth="1"/>
    <col min="902" max="902" width="1.140625" style="1" customWidth="1"/>
    <col min="903" max="903" width="15.28515625" style="1" customWidth="1"/>
    <col min="904" max="904" width="0.7109375" style="1" customWidth="1"/>
    <col min="905" max="905" width="15.28515625" style="1" customWidth="1"/>
    <col min="906" max="906" width="0.7109375" style="1" customWidth="1"/>
    <col min="907" max="907" width="15.28515625" style="1" customWidth="1"/>
    <col min="908" max="908" width="14.42578125" style="1" bestFit="1" customWidth="1"/>
    <col min="909" max="911" width="16" style="1" customWidth="1"/>
    <col min="912" max="912" width="14.42578125" style="1" bestFit="1" customWidth="1"/>
    <col min="913" max="1149" width="11.42578125" style="1"/>
    <col min="1150" max="1150" width="1.7109375" style="1" customWidth="1"/>
    <col min="1151" max="1151" width="45.42578125" style="1" customWidth="1"/>
    <col min="1152" max="1152" width="1.140625" style="1" customWidth="1"/>
    <col min="1153" max="1153" width="16.5703125" style="1" customWidth="1"/>
    <col min="1154" max="1154" width="0.7109375" style="1" customWidth="1"/>
    <col min="1155" max="1155" width="16.5703125" style="1" customWidth="1"/>
    <col min="1156" max="1156" width="0.7109375" style="1" customWidth="1"/>
    <col min="1157" max="1157" width="18" style="1" customWidth="1"/>
    <col min="1158" max="1158" width="1.140625" style="1" customWidth="1"/>
    <col min="1159" max="1159" width="15.28515625" style="1" customWidth="1"/>
    <col min="1160" max="1160" width="0.7109375" style="1" customWidth="1"/>
    <col min="1161" max="1161" width="15.28515625" style="1" customWidth="1"/>
    <col min="1162" max="1162" width="0.7109375" style="1" customWidth="1"/>
    <col min="1163" max="1163" width="15.28515625" style="1" customWidth="1"/>
    <col min="1164" max="1164" width="14.42578125" style="1" bestFit="1" customWidth="1"/>
    <col min="1165" max="1167" width="16" style="1" customWidth="1"/>
    <col min="1168" max="1168" width="14.42578125" style="1" bestFit="1" customWidth="1"/>
    <col min="1169" max="1405" width="11.42578125" style="1"/>
    <col min="1406" max="1406" width="1.7109375" style="1" customWidth="1"/>
    <col min="1407" max="1407" width="45.42578125" style="1" customWidth="1"/>
    <col min="1408" max="1408" width="1.140625" style="1" customWidth="1"/>
    <col min="1409" max="1409" width="16.5703125" style="1" customWidth="1"/>
    <col min="1410" max="1410" width="0.7109375" style="1" customWidth="1"/>
    <col min="1411" max="1411" width="16.5703125" style="1" customWidth="1"/>
    <col min="1412" max="1412" width="0.7109375" style="1" customWidth="1"/>
    <col min="1413" max="1413" width="18" style="1" customWidth="1"/>
    <col min="1414" max="1414" width="1.140625" style="1" customWidth="1"/>
    <col min="1415" max="1415" width="15.28515625" style="1" customWidth="1"/>
    <col min="1416" max="1416" width="0.7109375" style="1" customWidth="1"/>
    <col min="1417" max="1417" width="15.28515625" style="1" customWidth="1"/>
    <col min="1418" max="1418" width="0.7109375" style="1" customWidth="1"/>
    <col min="1419" max="1419" width="15.28515625" style="1" customWidth="1"/>
    <col min="1420" max="1420" width="14.42578125" style="1" bestFit="1" customWidth="1"/>
    <col min="1421" max="1423" width="16" style="1" customWidth="1"/>
    <col min="1424" max="1424" width="14.42578125" style="1" bestFit="1" customWidth="1"/>
    <col min="1425" max="1661" width="11.42578125" style="1"/>
    <col min="1662" max="1662" width="1.7109375" style="1" customWidth="1"/>
    <col min="1663" max="1663" width="45.42578125" style="1" customWidth="1"/>
    <col min="1664" max="1664" width="1.140625" style="1" customWidth="1"/>
    <col min="1665" max="1665" width="16.5703125" style="1" customWidth="1"/>
    <col min="1666" max="1666" width="0.7109375" style="1" customWidth="1"/>
    <col min="1667" max="1667" width="16.5703125" style="1" customWidth="1"/>
    <col min="1668" max="1668" width="0.7109375" style="1" customWidth="1"/>
    <col min="1669" max="1669" width="18" style="1" customWidth="1"/>
    <col min="1670" max="1670" width="1.140625" style="1" customWidth="1"/>
    <col min="1671" max="1671" width="15.28515625" style="1" customWidth="1"/>
    <col min="1672" max="1672" width="0.7109375" style="1" customWidth="1"/>
    <col min="1673" max="1673" width="15.28515625" style="1" customWidth="1"/>
    <col min="1674" max="1674" width="0.7109375" style="1" customWidth="1"/>
    <col min="1675" max="1675" width="15.28515625" style="1" customWidth="1"/>
    <col min="1676" max="1676" width="14.42578125" style="1" bestFit="1" customWidth="1"/>
    <col min="1677" max="1679" width="16" style="1" customWidth="1"/>
    <col min="1680" max="1680" width="14.42578125" style="1" bestFit="1" customWidth="1"/>
    <col min="1681" max="1917" width="11.42578125" style="1"/>
    <col min="1918" max="1918" width="1.7109375" style="1" customWidth="1"/>
    <col min="1919" max="1919" width="45.42578125" style="1" customWidth="1"/>
    <col min="1920" max="1920" width="1.140625" style="1" customWidth="1"/>
    <col min="1921" max="1921" width="16.5703125" style="1" customWidth="1"/>
    <col min="1922" max="1922" width="0.7109375" style="1" customWidth="1"/>
    <col min="1923" max="1923" width="16.5703125" style="1" customWidth="1"/>
    <col min="1924" max="1924" width="0.7109375" style="1" customWidth="1"/>
    <col min="1925" max="1925" width="18" style="1" customWidth="1"/>
    <col min="1926" max="1926" width="1.140625" style="1" customWidth="1"/>
    <col min="1927" max="1927" width="15.28515625" style="1" customWidth="1"/>
    <col min="1928" max="1928" width="0.7109375" style="1" customWidth="1"/>
    <col min="1929" max="1929" width="15.28515625" style="1" customWidth="1"/>
    <col min="1930" max="1930" width="0.7109375" style="1" customWidth="1"/>
    <col min="1931" max="1931" width="15.28515625" style="1" customWidth="1"/>
    <col min="1932" max="1932" width="14.42578125" style="1" bestFit="1" customWidth="1"/>
    <col min="1933" max="1935" width="16" style="1" customWidth="1"/>
    <col min="1936" max="1936" width="14.42578125" style="1" bestFit="1" customWidth="1"/>
    <col min="1937" max="2173" width="11.42578125" style="1"/>
    <col min="2174" max="2174" width="1.7109375" style="1" customWidth="1"/>
    <col min="2175" max="2175" width="45.42578125" style="1" customWidth="1"/>
    <col min="2176" max="2176" width="1.140625" style="1" customWidth="1"/>
    <col min="2177" max="2177" width="16.5703125" style="1" customWidth="1"/>
    <col min="2178" max="2178" width="0.7109375" style="1" customWidth="1"/>
    <col min="2179" max="2179" width="16.5703125" style="1" customWidth="1"/>
    <col min="2180" max="2180" width="0.7109375" style="1" customWidth="1"/>
    <col min="2181" max="2181" width="18" style="1" customWidth="1"/>
    <col min="2182" max="2182" width="1.140625" style="1" customWidth="1"/>
    <col min="2183" max="2183" width="15.28515625" style="1" customWidth="1"/>
    <col min="2184" max="2184" width="0.7109375" style="1" customWidth="1"/>
    <col min="2185" max="2185" width="15.28515625" style="1" customWidth="1"/>
    <col min="2186" max="2186" width="0.7109375" style="1" customWidth="1"/>
    <col min="2187" max="2187" width="15.28515625" style="1" customWidth="1"/>
    <col min="2188" max="2188" width="14.42578125" style="1" bestFit="1" customWidth="1"/>
    <col min="2189" max="2191" width="16" style="1" customWidth="1"/>
    <col min="2192" max="2192" width="14.42578125" style="1" bestFit="1" customWidth="1"/>
    <col min="2193" max="2429" width="11.42578125" style="1"/>
    <col min="2430" max="2430" width="1.7109375" style="1" customWidth="1"/>
    <col min="2431" max="2431" width="45.42578125" style="1" customWidth="1"/>
    <col min="2432" max="2432" width="1.140625" style="1" customWidth="1"/>
    <col min="2433" max="2433" width="16.5703125" style="1" customWidth="1"/>
    <col min="2434" max="2434" width="0.7109375" style="1" customWidth="1"/>
    <col min="2435" max="2435" width="16.5703125" style="1" customWidth="1"/>
    <col min="2436" max="2436" width="0.7109375" style="1" customWidth="1"/>
    <col min="2437" max="2437" width="18" style="1" customWidth="1"/>
    <col min="2438" max="2438" width="1.140625" style="1" customWidth="1"/>
    <col min="2439" max="2439" width="15.28515625" style="1" customWidth="1"/>
    <col min="2440" max="2440" width="0.7109375" style="1" customWidth="1"/>
    <col min="2441" max="2441" width="15.28515625" style="1" customWidth="1"/>
    <col min="2442" max="2442" width="0.7109375" style="1" customWidth="1"/>
    <col min="2443" max="2443" width="15.28515625" style="1" customWidth="1"/>
    <col min="2444" max="2444" width="14.42578125" style="1" bestFit="1" customWidth="1"/>
    <col min="2445" max="2447" width="16" style="1" customWidth="1"/>
    <col min="2448" max="2448" width="14.42578125" style="1" bestFit="1" customWidth="1"/>
    <col min="2449" max="2685" width="11.42578125" style="1"/>
    <col min="2686" max="2686" width="1.7109375" style="1" customWidth="1"/>
    <col min="2687" max="2687" width="45.42578125" style="1" customWidth="1"/>
    <col min="2688" max="2688" width="1.140625" style="1" customWidth="1"/>
    <col min="2689" max="2689" width="16.5703125" style="1" customWidth="1"/>
    <col min="2690" max="2690" width="0.7109375" style="1" customWidth="1"/>
    <col min="2691" max="2691" width="16.5703125" style="1" customWidth="1"/>
    <col min="2692" max="2692" width="0.7109375" style="1" customWidth="1"/>
    <col min="2693" max="2693" width="18" style="1" customWidth="1"/>
    <col min="2694" max="2694" width="1.140625" style="1" customWidth="1"/>
    <col min="2695" max="2695" width="15.28515625" style="1" customWidth="1"/>
    <col min="2696" max="2696" width="0.7109375" style="1" customWidth="1"/>
    <col min="2697" max="2697" width="15.28515625" style="1" customWidth="1"/>
    <col min="2698" max="2698" width="0.7109375" style="1" customWidth="1"/>
    <col min="2699" max="2699" width="15.28515625" style="1" customWidth="1"/>
    <col min="2700" max="2700" width="14.42578125" style="1" bestFit="1" customWidth="1"/>
    <col min="2701" max="2703" width="16" style="1" customWidth="1"/>
    <col min="2704" max="2704" width="14.42578125" style="1" bestFit="1" customWidth="1"/>
    <col min="2705" max="2941" width="11.42578125" style="1"/>
    <col min="2942" max="2942" width="1.7109375" style="1" customWidth="1"/>
    <col min="2943" max="2943" width="45.42578125" style="1" customWidth="1"/>
    <col min="2944" max="2944" width="1.140625" style="1" customWidth="1"/>
    <col min="2945" max="2945" width="16.5703125" style="1" customWidth="1"/>
    <col min="2946" max="2946" width="0.7109375" style="1" customWidth="1"/>
    <col min="2947" max="2947" width="16.5703125" style="1" customWidth="1"/>
    <col min="2948" max="2948" width="0.7109375" style="1" customWidth="1"/>
    <col min="2949" max="2949" width="18" style="1" customWidth="1"/>
    <col min="2950" max="2950" width="1.140625" style="1" customWidth="1"/>
    <col min="2951" max="2951" width="15.28515625" style="1" customWidth="1"/>
    <col min="2952" max="2952" width="0.7109375" style="1" customWidth="1"/>
    <col min="2953" max="2953" width="15.28515625" style="1" customWidth="1"/>
    <col min="2954" max="2954" width="0.7109375" style="1" customWidth="1"/>
    <col min="2955" max="2955" width="15.28515625" style="1" customWidth="1"/>
    <col min="2956" max="2956" width="14.42578125" style="1" bestFit="1" customWidth="1"/>
    <col min="2957" max="2959" width="16" style="1" customWidth="1"/>
    <col min="2960" max="2960" width="14.42578125" style="1" bestFit="1" customWidth="1"/>
    <col min="2961" max="3197" width="11.42578125" style="1"/>
    <col min="3198" max="3198" width="1.7109375" style="1" customWidth="1"/>
    <col min="3199" max="3199" width="45.42578125" style="1" customWidth="1"/>
    <col min="3200" max="3200" width="1.140625" style="1" customWidth="1"/>
    <col min="3201" max="3201" width="16.5703125" style="1" customWidth="1"/>
    <col min="3202" max="3202" width="0.7109375" style="1" customWidth="1"/>
    <col min="3203" max="3203" width="16.5703125" style="1" customWidth="1"/>
    <col min="3204" max="3204" width="0.7109375" style="1" customWidth="1"/>
    <col min="3205" max="3205" width="18" style="1" customWidth="1"/>
    <col min="3206" max="3206" width="1.140625" style="1" customWidth="1"/>
    <col min="3207" max="3207" width="15.28515625" style="1" customWidth="1"/>
    <col min="3208" max="3208" width="0.7109375" style="1" customWidth="1"/>
    <col min="3209" max="3209" width="15.28515625" style="1" customWidth="1"/>
    <col min="3210" max="3210" width="0.7109375" style="1" customWidth="1"/>
    <col min="3211" max="3211" width="15.28515625" style="1" customWidth="1"/>
    <col min="3212" max="3212" width="14.42578125" style="1" bestFit="1" customWidth="1"/>
    <col min="3213" max="3215" width="16" style="1" customWidth="1"/>
    <col min="3216" max="3216" width="14.42578125" style="1" bestFit="1" customWidth="1"/>
    <col min="3217" max="3453" width="11.42578125" style="1"/>
    <col min="3454" max="3454" width="1.7109375" style="1" customWidth="1"/>
    <col min="3455" max="3455" width="45.42578125" style="1" customWidth="1"/>
    <col min="3456" max="3456" width="1.140625" style="1" customWidth="1"/>
    <col min="3457" max="3457" width="16.5703125" style="1" customWidth="1"/>
    <col min="3458" max="3458" width="0.7109375" style="1" customWidth="1"/>
    <col min="3459" max="3459" width="16.5703125" style="1" customWidth="1"/>
    <col min="3460" max="3460" width="0.7109375" style="1" customWidth="1"/>
    <col min="3461" max="3461" width="18" style="1" customWidth="1"/>
    <col min="3462" max="3462" width="1.140625" style="1" customWidth="1"/>
    <col min="3463" max="3463" width="15.28515625" style="1" customWidth="1"/>
    <col min="3464" max="3464" width="0.7109375" style="1" customWidth="1"/>
    <col min="3465" max="3465" width="15.28515625" style="1" customWidth="1"/>
    <col min="3466" max="3466" width="0.7109375" style="1" customWidth="1"/>
    <col min="3467" max="3467" width="15.28515625" style="1" customWidth="1"/>
    <col min="3468" max="3468" width="14.42578125" style="1" bestFit="1" customWidth="1"/>
    <col min="3469" max="3471" width="16" style="1" customWidth="1"/>
    <col min="3472" max="3472" width="14.42578125" style="1" bestFit="1" customWidth="1"/>
    <col min="3473" max="3709" width="11.42578125" style="1"/>
    <col min="3710" max="3710" width="1.7109375" style="1" customWidth="1"/>
    <col min="3711" max="3711" width="45.42578125" style="1" customWidth="1"/>
    <col min="3712" max="3712" width="1.140625" style="1" customWidth="1"/>
    <col min="3713" max="3713" width="16.5703125" style="1" customWidth="1"/>
    <col min="3714" max="3714" width="0.7109375" style="1" customWidth="1"/>
    <col min="3715" max="3715" width="16.5703125" style="1" customWidth="1"/>
    <col min="3716" max="3716" width="0.7109375" style="1" customWidth="1"/>
    <col min="3717" max="3717" width="18" style="1" customWidth="1"/>
    <col min="3718" max="3718" width="1.140625" style="1" customWidth="1"/>
    <col min="3719" max="3719" width="15.28515625" style="1" customWidth="1"/>
    <col min="3720" max="3720" width="0.7109375" style="1" customWidth="1"/>
    <col min="3721" max="3721" width="15.28515625" style="1" customWidth="1"/>
    <col min="3722" max="3722" width="0.7109375" style="1" customWidth="1"/>
    <col min="3723" max="3723" width="15.28515625" style="1" customWidth="1"/>
    <col min="3724" max="3724" width="14.42578125" style="1" bestFit="1" customWidth="1"/>
    <col min="3725" max="3727" width="16" style="1" customWidth="1"/>
    <col min="3728" max="3728" width="14.42578125" style="1" bestFit="1" customWidth="1"/>
    <col min="3729" max="3965" width="11.42578125" style="1"/>
    <col min="3966" max="3966" width="1.7109375" style="1" customWidth="1"/>
    <col min="3967" max="3967" width="45.42578125" style="1" customWidth="1"/>
    <col min="3968" max="3968" width="1.140625" style="1" customWidth="1"/>
    <col min="3969" max="3969" width="16.5703125" style="1" customWidth="1"/>
    <col min="3970" max="3970" width="0.7109375" style="1" customWidth="1"/>
    <col min="3971" max="3971" width="16.5703125" style="1" customWidth="1"/>
    <col min="3972" max="3972" width="0.7109375" style="1" customWidth="1"/>
    <col min="3973" max="3973" width="18" style="1" customWidth="1"/>
    <col min="3974" max="3974" width="1.140625" style="1" customWidth="1"/>
    <col min="3975" max="3975" width="15.28515625" style="1" customWidth="1"/>
    <col min="3976" max="3976" width="0.7109375" style="1" customWidth="1"/>
    <col min="3977" max="3977" width="15.28515625" style="1" customWidth="1"/>
    <col min="3978" max="3978" width="0.7109375" style="1" customWidth="1"/>
    <col min="3979" max="3979" width="15.28515625" style="1" customWidth="1"/>
    <col min="3980" max="3980" width="14.42578125" style="1" bestFit="1" customWidth="1"/>
    <col min="3981" max="3983" width="16" style="1" customWidth="1"/>
    <col min="3984" max="3984" width="14.42578125" style="1" bestFit="1" customWidth="1"/>
    <col min="3985" max="4221" width="11.42578125" style="1"/>
    <col min="4222" max="4222" width="1.7109375" style="1" customWidth="1"/>
    <col min="4223" max="4223" width="45.42578125" style="1" customWidth="1"/>
    <col min="4224" max="4224" width="1.140625" style="1" customWidth="1"/>
    <col min="4225" max="4225" width="16.5703125" style="1" customWidth="1"/>
    <col min="4226" max="4226" width="0.7109375" style="1" customWidth="1"/>
    <col min="4227" max="4227" width="16.5703125" style="1" customWidth="1"/>
    <col min="4228" max="4228" width="0.7109375" style="1" customWidth="1"/>
    <col min="4229" max="4229" width="18" style="1" customWidth="1"/>
    <col min="4230" max="4230" width="1.140625" style="1" customWidth="1"/>
    <col min="4231" max="4231" width="15.28515625" style="1" customWidth="1"/>
    <col min="4232" max="4232" width="0.7109375" style="1" customWidth="1"/>
    <col min="4233" max="4233" width="15.28515625" style="1" customWidth="1"/>
    <col min="4234" max="4234" width="0.7109375" style="1" customWidth="1"/>
    <col min="4235" max="4235" width="15.28515625" style="1" customWidth="1"/>
    <col min="4236" max="4236" width="14.42578125" style="1" bestFit="1" customWidth="1"/>
    <col min="4237" max="4239" width="16" style="1" customWidth="1"/>
    <col min="4240" max="4240" width="14.42578125" style="1" bestFit="1" customWidth="1"/>
    <col min="4241" max="4477" width="11.42578125" style="1"/>
    <col min="4478" max="4478" width="1.7109375" style="1" customWidth="1"/>
    <col min="4479" max="4479" width="45.42578125" style="1" customWidth="1"/>
    <col min="4480" max="4480" width="1.140625" style="1" customWidth="1"/>
    <col min="4481" max="4481" width="16.5703125" style="1" customWidth="1"/>
    <col min="4482" max="4482" width="0.7109375" style="1" customWidth="1"/>
    <col min="4483" max="4483" width="16.5703125" style="1" customWidth="1"/>
    <col min="4484" max="4484" width="0.7109375" style="1" customWidth="1"/>
    <col min="4485" max="4485" width="18" style="1" customWidth="1"/>
    <col min="4486" max="4486" width="1.140625" style="1" customWidth="1"/>
    <col min="4487" max="4487" width="15.28515625" style="1" customWidth="1"/>
    <col min="4488" max="4488" width="0.7109375" style="1" customWidth="1"/>
    <col min="4489" max="4489" width="15.28515625" style="1" customWidth="1"/>
    <col min="4490" max="4490" width="0.7109375" style="1" customWidth="1"/>
    <col min="4491" max="4491" width="15.28515625" style="1" customWidth="1"/>
    <col min="4492" max="4492" width="14.42578125" style="1" bestFit="1" customWidth="1"/>
    <col min="4493" max="4495" width="16" style="1" customWidth="1"/>
    <col min="4496" max="4496" width="14.42578125" style="1" bestFit="1" customWidth="1"/>
    <col min="4497" max="4733" width="11.42578125" style="1"/>
    <col min="4734" max="4734" width="1.7109375" style="1" customWidth="1"/>
    <col min="4735" max="4735" width="45.42578125" style="1" customWidth="1"/>
    <col min="4736" max="4736" width="1.140625" style="1" customWidth="1"/>
    <col min="4737" max="4737" width="16.5703125" style="1" customWidth="1"/>
    <col min="4738" max="4738" width="0.7109375" style="1" customWidth="1"/>
    <col min="4739" max="4739" width="16.5703125" style="1" customWidth="1"/>
    <col min="4740" max="4740" width="0.7109375" style="1" customWidth="1"/>
    <col min="4741" max="4741" width="18" style="1" customWidth="1"/>
    <col min="4742" max="4742" width="1.140625" style="1" customWidth="1"/>
    <col min="4743" max="4743" width="15.28515625" style="1" customWidth="1"/>
    <col min="4744" max="4744" width="0.7109375" style="1" customWidth="1"/>
    <col min="4745" max="4745" width="15.28515625" style="1" customWidth="1"/>
    <col min="4746" max="4746" width="0.7109375" style="1" customWidth="1"/>
    <col min="4747" max="4747" width="15.28515625" style="1" customWidth="1"/>
    <col min="4748" max="4748" width="14.42578125" style="1" bestFit="1" customWidth="1"/>
    <col min="4749" max="4751" width="16" style="1" customWidth="1"/>
    <col min="4752" max="4752" width="14.42578125" style="1" bestFit="1" customWidth="1"/>
    <col min="4753" max="4989" width="11.42578125" style="1"/>
    <col min="4990" max="4990" width="1.7109375" style="1" customWidth="1"/>
    <col min="4991" max="4991" width="45.42578125" style="1" customWidth="1"/>
    <col min="4992" max="4992" width="1.140625" style="1" customWidth="1"/>
    <col min="4993" max="4993" width="16.5703125" style="1" customWidth="1"/>
    <col min="4994" max="4994" width="0.7109375" style="1" customWidth="1"/>
    <col min="4995" max="4995" width="16.5703125" style="1" customWidth="1"/>
    <col min="4996" max="4996" width="0.7109375" style="1" customWidth="1"/>
    <col min="4997" max="4997" width="18" style="1" customWidth="1"/>
    <col min="4998" max="4998" width="1.140625" style="1" customWidth="1"/>
    <col min="4999" max="4999" width="15.28515625" style="1" customWidth="1"/>
    <col min="5000" max="5000" width="0.7109375" style="1" customWidth="1"/>
    <col min="5001" max="5001" width="15.28515625" style="1" customWidth="1"/>
    <col min="5002" max="5002" width="0.7109375" style="1" customWidth="1"/>
    <col min="5003" max="5003" width="15.28515625" style="1" customWidth="1"/>
    <col min="5004" max="5004" width="14.42578125" style="1" bestFit="1" customWidth="1"/>
    <col min="5005" max="5007" width="16" style="1" customWidth="1"/>
    <col min="5008" max="5008" width="14.42578125" style="1" bestFit="1" customWidth="1"/>
    <col min="5009" max="5245" width="11.42578125" style="1"/>
    <col min="5246" max="5246" width="1.7109375" style="1" customWidth="1"/>
    <col min="5247" max="5247" width="45.42578125" style="1" customWidth="1"/>
    <col min="5248" max="5248" width="1.140625" style="1" customWidth="1"/>
    <col min="5249" max="5249" width="16.5703125" style="1" customWidth="1"/>
    <col min="5250" max="5250" width="0.7109375" style="1" customWidth="1"/>
    <col min="5251" max="5251" width="16.5703125" style="1" customWidth="1"/>
    <col min="5252" max="5252" width="0.7109375" style="1" customWidth="1"/>
    <col min="5253" max="5253" width="18" style="1" customWidth="1"/>
    <col min="5254" max="5254" width="1.140625" style="1" customWidth="1"/>
    <col min="5255" max="5255" width="15.28515625" style="1" customWidth="1"/>
    <col min="5256" max="5256" width="0.7109375" style="1" customWidth="1"/>
    <col min="5257" max="5257" width="15.28515625" style="1" customWidth="1"/>
    <col min="5258" max="5258" width="0.7109375" style="1" customWidth="1"/>
    <col min="5259" max="5259" width="15.28515625" style="1" customWidth="1"/>
    <col min="5260" max="5260" width="14.42578125" style="1" bestFit="1" customWidth="1"/>
    <col min="5261" max="5263" width="16" style="1" customWidth="1"/>
    <col min="5264" max="5264" width="14.42578125" style="1" bestFit="1" customWidth="1"/>
    <col min="5265" max="5501" width="11.42578125" style="1"/>
    <col min="5502" max="5502" width="1.7109375" style="1" customWidth="1"/>
    <col min="5503" max="5503" width="45.42578125" style="1" customWidth="1"/>
    <col min="5504" max="5504" width="1.140625" style="1" customWidth="1"/>
    <col min="5505" max="5505" width="16.5703125" style="1" customWidth="1"/>
    <col min="5506" max="5506" width="0.7109375" style="1" customWidth="1"/>
    <col min="5507" max="5507" width="16.5703125" style="1" customWidth="1"/>
    <col min="5508" max="5508" width="0.7109375" style="1" customWidth="1"/>
    <col min="5509" max="5509" width="18" style="1" customWidth="1"/>
    <col min="5510" max="5510" width="1.140625" style="1" customWidth="1"/>
    <col min="5511" max="5511" width="15.28515625" style="1" customWidth="1"/>
    <col min="5512" max="5512" width="0.7109375" style="1" customWidth="1"/>
    <col min="5513" max="5513" width="15.28515625" style="1" customWidth="1"/>
    <col min="5514" max="5514" width="0.7109375" style="1" customWidth="1"/>
    <col min="5515" max="5515" width="15.28515625" style="1" customWidth="1"/>
    <col min="5516" max="5516" width="14.42578125" style="1" bestFit="1" customWidth="1"/>
    <col min="5517" max="5519" width="16" style="1" customWidth="1"/>
    <col min="5520" max="5520" width="14.42578125" style="1" bestFit="1" customWidth="1"/>
    <col min="5521" max="5757" width="11.42578125" style="1"/>
    <col min="5758" max="5758" width="1.7109375" style="1" customWidth="1"/>
    <col min="5759" max="5759" width="45.42578125" style="1" customWidth="1"/>
    <col min="5760" max="5760" width="1.140625" style="1" customWidth="1"/>
    <col min="5761" max="5761" width="16.5703125" style="1" customWidth="1"/>
    <col min="5762" max="5762" width="0.7109375" style="1" customWidth="1"/>
    <col min="5763" max="5763" width="16.5703125" style="1" customWidth="1"/>
    <col min="5764" max="5764" width="0.7109375" style="1" customWidth="1"/>
    <col min="5765" max="5765" width="18" style="1" customWidth="1"/>
    <col min="5766" max="5766" width="1.140625" style="1" customWidth="1"/>
    <col min="5767" max="5767" width="15.28515625" style="1" customWidth="1"/>
    <col min="5768" max="5768" width="0.7109375" style="1" customWidth="1"/>
    <col min="5769" max="5769" width="15.28515625" style="1" customWidth="1"/>
    <col min="5770" max="5770" width="0.7109375" style="1" customWidth="1"/>
    <col min="5771" max="5771" width="15.28515625" style="1" customWidth="1"/>
    <col min="5772" max="5772" width="14.42578125" style="1" bestFit="1" customWidth="1"/>
    <col min="5773" max="5775" width="16" style="1" customWidth="1"/>
    <col min="5776" max="5776" width="14.42578125" style="1" bestFit="1" customWidth="1"/>
    <col min="5777" max="6013" width="11.42578125" style="1"/>
    <col min="6014" max="6014" width="1.7109375" style="1" customWidth="1"/>
    <col min="6015" max="6015" width="45.42578125" style="1" customWidth="1"/>
    <col min="6016" max="6016" width="1.140625" style="1" customWidth="1"/>
    <col min="6017" max="6017" width="16.5703125" style="1" customWidth="1"/>
    <col min="6018" max="6018" width="0.7109375" style="1" customWidth="1"/>
    <col min="6019" max="6019" width="16.5703125" style="1" customWidth="1"/>
    <col min="6020" max="6020" width="0.7109375" style="1" customWidth="1"/>
    <col min="6021" max="6021" width="18" style="1" customWidth="1"/>
    <col min="6022" max="6022" width="1.140625" style="1" customWidth="1"/>
    <col min="6023" max="6023" width="15.28515625" style="1" customWidth="1"/>
    <col min="6024" max="6024" width="0.7109375" style="1" customWidth="1"/>
    <col min="6025" max="6025" width="15.28515625" style="1" customWidth="1"/>
    <col min="6026" max="6026" width="0.7109375" style="1" customWidth="1"/>
    <col min="6027" max="6027" width="15.28515625" style="1" customWidth="1"/>
    <col min="6028" max="6028" width="14.42578125" style="1" bestFit="1" customWidth="1"/>
    <col min="6029" max="6031" width="16" style="1" customWidth="1"/>
    <col min="6032" max="6032" width="14.42578125" style="1" bestFit="1" customWidth="1"/>
    <col min="6033" max="6269" width="11.42578125" style="1"/>
    <col min="6270" max="6270" width="1.7109375" style="1" customWidth="1"/>
    <col min="6271" max="6271" width="45.42578125" style="1" customWidth="1"/>
    <col min="6272" max="6272" width="1.140625" style="1" customWidth="1"/>
    <col min="6273" max="6273" width="16.5703125" style="1" customWidth="1"/>
    <col min="6274" max="6274" width="0.7109375" style="1" customWidth="1"/>
    <col min="6275" max="6275" width="16.5703125" style="1" customWidth="1"/>
    <col min="6276" max="6276" width="0.7109375" style="1" customWidth="1"/>
    <col min="6277" max="6277" width="18" style="1" customWidth="1"/>
    <col min="6278" max="6278" width="1.140625" style="1" customWidth="1"/>
    <col min="6279" max="6279" width="15.28515625" style="1" customWidth="1"/>
    <col min="6280" max="6280" width="0.7109375" style="1" customWidth="1"/>
    <col min="6281" max="6281" width="15.28515625" style="1" customWidth="1"/>
    <col min="6282" max="6282" width="0.7109375" style="1" customWidth="1"/>
    <col min="6283" max="6283" width="15.28515625" style="1" customWidth="1"/>
    <col min="6284" max="6284" width="14.42578125" style="1" bestFit="1" customWidth="1"/>
    <col min="6285" max="6287" width="16" style="1" customWidth="1"/>
    <col min="6288" max="6288" width="14.42578125" style="1" bestFit="1" customWidth="1"/>
    <col min="6289" max="6525" width="11.42578125" style="1"/>
    <col min="6526" max="6526" width="1.7109375" style="1" customWidth="1"/>
    <col min="6527" max="6527" width="45.42578125" style="1" customWidth="1"/>
    <col min="6528" max="6528" width="1.140625" style="1" customWidth="1"/>
    <col min="6529" max="6529" width="16.5703125" style="1" customWidth="1"/>
    <col min="6530" max="6530" width="0.7109375" style="1" customWidth="1"/>
    <col min="6531" max="6531" width="16.5703125" style="1" customWidth="1"/>
    <col min="6532" max="6532" width="0.7109375" style="1" customWidth="1"/>
    <col min="6533" max="6533" width="18" style="1" customWidth="1"/>
    <col min="6534" max="6534" width="1.140625" style="1" customWidth="1"/>
    <col min="6535" max="6535" width="15.28515625" style="1" customWidth="1"/>
    <col min="6536" max="6536" width="0.7109375" style="1" customWidth="1"/>
    <col min="6537" max="6537" width="15.28515625" style="1" customWidth="1"/>
    <col min="6538" max="6538" width="0.7109375" style="1" customWidth="1"/>
    <col min="6539" max="6539" width="15.28515625" style="1" customWidth="1"/>
    <col min="6540" max="6540" width="14.42578125" style="1" bestFit="1" customWidth="1"/>
    <col min="6541" max="6543" width="16" style="1" customWidth="1"/>
    <col min="6544" max="6544" width="14.42578125" style="1" bestFit="1" customWidth="1"/>
    <col min="6545" max="6781" width="11.42578125" style="1"/>
    <col min="6782" max="6782" width="1.7109375" style="1" customWidth="1"/>
    <col min="6783" max="6783" width="45.42578125" style="1" customWidth="1"/>
    <col min="6784" max="6784" width="1.140625" style="1" customWidth="1"/>
    <col min="6785" max="6785" width="16.5703125" style="1" customWidth="1"/>
    <col min="6786" max="6786" width="0.7109375" style="1" customWidth="1"/>
    <col min="6787" max="6787" width="16.5703125" style="1" customWidth="1"/>
    <col min="6788" max="6788" width="0.7109375" style="1" customWidth="1"/>
    <col min="6789" max="6789" width="18" style="1" customWidth="1"/>
    <col min="6790" max="6790" width="1.140625" style="1" customWidth="1"/>
    <col min="6791" max="6791" width="15.28515625" style="1" customWidth="1"/>
    <col min="6792" max="6792" width="0.7109375" style="1" customWidth="1"/>
    <col min="6793" max="6793" width="15.28515625" style="1" customWidth="1"/>
    <col min="6794" max="6794" width="0.7109375" style="1" customWidth="1"/>
    <col min="6795" max="6795" width="15.28515625" style="1" customWidth="1"/>
    <col min="6796" max="6796" width="14.42578125" style="1" bestFit="1" customWidth="1"/>
    <col min="6797" max="6799" width="16" style="1" customWidth="1"/>
    <col min="6800" max="6800" width="14.42578125" style="1" bestFit="1" customWidth="1"/>
    <col min="6801" max="7037" width="11.42578125" style="1"/>
    <col min="7038" max="7038" width="1.7109375" style="1" customWidth="1"/>
    <col min="7039" max="7039" width="45.42578125" style="1" customWidth="1"/>
    <col min="7040" max="7040" width="1.140625" style="1" customWidth="1"/>
    <col min="7041" max="7041" width="16.5703125" style="1" customWidth="1"/>
    <col min="7042" max="7042" width="0.7109375" style="1" customWidth="1"/>
    <col min="7043" max="7043" width="16.5703125" style="1" customWidth="1"/>
    <col min="7044" max="7044" width="0.7109375" style="1" customWidth="1"/>
    <col min="7045" max="7045" width="18" style="1" customWidth="1"/>
    <col min="7046" max="7046" width="1.140625" style="1" customWidth="1"/>
    <col min="7047" max="7047" width="15.28515625" style="1" customWidth="1"/>
    <col min="7048" max="7048" width="0.7109375" style="1" customWidth="1"/>
    <col min="7049" max="7049" width="15.28515625" style="1" customWidth="1"/>
    <col min="7050" max="7050" width="0.7109375" style="1" customWidth="1"/>
    <col min="7051" max="7051" width="15.28515625" style="1" customWidth="1"/>
    <col min="7052" max="7052" width="14.42578125" style="1" bestFit="1" customWidth="1"/>
    <col min="7053" max="7055" width="16" style="1" customWidth="1"/>
    <col min="7056" max="7056" width="14.42578125" style="1" bestFit="1" customWidth="1"/>
    <col min="7057" max="7293" width="11.42578125" style="1"/>
    <col min="7294" max="7294" width="1.7109375" style="1" customWidth="1"/>
    <col min="7295" max="7295" width="45.42578125" style="1" customWidth="1"/>
    <col min="7296" max="7296" width="1.140625" style="1" customWidth="1"/>
    <col min="7297" max="7297" width="16.5703125" style="1" customWidth="1"/>
    <col min="7298" max="7298" width="0.7109375" style="1" customWidth="1"/>
    <col min="7299" max="7299" width="16.5703125" style="1" customWidth="1"/>
    <col min="7300" max="7300" width="0.7109375" style="1" customWidth="1"/>
    <col min="7301" max="7301" width="18" style="1" customWidth="1"/>
    <col min="7302" max="7302" width="1.140625" style="1" customWidth="1"/>
    <col min="7303" max="7303" width="15.28515625" style="1" customWidth="1"/>
    <col min="7304" max="7304" width="0.7109375" style="1" customWidth="1"/>
    <col min="7305" max="7305" width="15.28515625" style="1" customWidth="1"/>
    <col min="7306" max="7306" width="0.7109375" style="1" customWidth="1"/>
    <col min="7307" max="7307" width="15.28515625" style="1" customWidth="1"/>
    <col min="7308" max="7308" width="14.42578125" style="1" bestFit="1" customWidth="1"/>
    <col min="7309" max="7311" width="16" style="1" customWidth="1"/>
    <col min="7312" max="7312" width="14.42578125" style="1" bestFit="1" customWidth="1"/>
    <col min="7313" max="7549" width="11.42578125" style="1"/>
    <col min="7550" max="7550" width="1.7109375" style="1" customWidth="1"/>
    <col min="7551" max="7551" width="45.42578125" style="1" customWidth="1"/>
    <col min="7552" max="7552" width="1.140625" style="1" customWidth="1"/>
    <col min="7553" max="7553" width="16.5703125" style="1" customWidth="1"/>
    <col min="7554" max="7554" width="0.7109375" style="1" customWidth="1"/>
    <col min="7555" max="7555" width="16.5703125" style="1" customWidth="1"/>
    <col min="7556" max="7556" width="0.7109375" style="1" customWidth="1"/>
    <col min="7557" max="7557" width="18" style="1" customWidth="1"/>
    <col min="7558" max="7558" width="1.140625" style="1" customWidth="1"/>
    <col min="7559" max="7559" width="15.28515625" style="1" customWidth="1"/>
    <col min="7560" max="7560" width="0.7109375" style="1" customWidth="1"/>
    <col min="7561" max="7561" width="15.28515625" style="1" customWidth="1"/>
    <col min="7562" max="7562" width="0.7109375" style="1" customWidth="1"/>
    <col min="7563" max="7563" width="15.28515625" style="1" customWidth="1"/>
    <col min="7564" max="7564" width="14.42578125" style="1" bestFit="1" customWidth="1"/>
    <col min="7565" max="7567" width="16" style="1" customWidth="1"/>
    <col min="7568" max="7568" width="14.42578125" style="1" bestFit="1" customWidth="1"/>
    <col min="7569" max="7805" width="11.42578125" style="1"/>
    <col min="7806" max="7806" width="1.7109375" style="1" customWidth="1"/>
    <col min="7807" max="7807" width="45.42578125" style="1" customWidth="1"/>
    <col min="7808" max="7808" width="1.140625" style="1" customWidth="1"/>
    <col min="7809" max="7809" width="16.5703125" style="1" customWidth="1"/>
    <col min="7810" max="7810" width="0.7109375" style="1" customWidth="1"/>
    <col min="7811" max="7811" width="16.5703125" style="1" customWidth="1"/>
    <col min="7812" max="7812" width="0.7109375" style="1" customWidth="1"/>
    <col min="7813" max="7813" width="18" style="1" customWidth="1"/>
    <col min="7814" max="7814" width="1.140625" style="1" customWidth="1"/>
    <col min="7815" max="7815" width="15.28515625" style="1" customWidth="1"/>
    <col min="7816" max="7816" width="0.7109375" style="1" customWidth="1"/>
    <col min="7817" max="7817" width="15.28515625" style="1" customWidth="1"/>
    <col min="7818" max="7818" width="0.7109375" style="1" customWidth="1"/>
    <col min="7819" max="7819" width="15.28515625" style="1" customWidth="1"/>
    <col min="7820" max="7820" width="14.42578125" style="1" bestFit="1" customWidth="1"/>
    <col min="7821" max="7823" width="16" style="1" customWidth="1"/>
    <col min="7824" max="7824" width="14.42578125" style="1" bestFit="1" customWidth="1"/>
    <col min="7825" max="8061" width="11.42578125" style="1"/>
    <col min="8062" max="8062" width="1.7109375" style="1" customWidth="1"/>
    <col min="8063" max="8063" width="45.42578125" style="1" customWidth="1"/>
    <col min="8064" max="8064" width="1.140625" style="1" customWidth="1"/>
    <col min="8065" max="8065" width="16.5703125" style="1" customWidth="1"/>
    <col min="8066" max="8066" width="0.7109375" style="1" customWidth="1"/>
    <col min="8067" max="8067" width="16.5703125" style="1" customWidth="1"/>
    <col min="8068" max="8068" width="0.7109375" style="1" customWidth="1"/>
    <col min="8069" max="8069" width="18" style="1" customWidth="1"/>
    <col min="8070" max="8070" width="1.140625" style="1" customWidth="1"/>
    <col min="8071" max="8071" width="15.28515625" style="1" customWidth="1"/>
    <col min="8072" max="8072" width="0.7109375" style="1" customWidth="1"/>
    <col min="8073" max="8073" width="15.28515625" style="1" customWidth="1"/>
    <col min="8074" max="8074" width="0.7109375" style="1" customWidth="1"/>
    <col min="8075" max="8075" width="15.28515625" style="1" customWidth="1"/>
    <col min="8076" max="8076" width="14.42578125" style="1" bestFit="1" customWidth="1"/>
    <col min="8077" max="8079" width="16" style="1" customWidth="1"/>
    <col min="8080" max="8080" width="14.42578125" style="1" bestFit="1" customWidth="1"/>
    <col min="8081" max="8317" width="11.42578125" style="1"/>
    <col min="8318" max="8318" width="1.7109375" style="1" customWidth="1"/>
    <col min="8319" max="8319" width="45.42578125" style="1" customWidth="1"/>
    <col min="8320" max="8320" width="1.140625" style="1" customWidth="1"/>
    <col min="8321" max="8321" width="16.5703125" style="1" customWidth="1"/>
    <col min="8322" max="8322" width="0.7109375" style="1" customWidth="1"/>
    <col min="8323" max="8323" width="16.5703125" style="1" customWidth="1"/>
    <col min="8324" max="8324" width="0.7109375" style="1" customWidth="1"/>
    <col min="8325" max="8325" width="18" style="1" customWidth="1"/>
    <col min="8326" max="8326" width="1.140625" style="1" customWidth="1"/>
    <col min="8327" max="8327" width="15.28515625" style="1" customWidth="1"/>
    <col min="8328" max="8328" width="0.7109375" style="1" customWidth="1"/>
    <col min="8329" max="8329" width="15.28515625" style="1" customWidth="1"/>
    <col min="8330" max="8330" width="0.7109375" style="1" customWidth="1"/>
    <col min="8331" max="8331" width="15.28515625" style="1" customWidth="1"/>
    <col min="8332" max="8332" width="14.42578125" style="1" bestFit="1" customWidth="1"/>
    <col min="8333" max="8335" width="16" style="1" customWidth="1"/>
    <col min="8336" max="8336" width="14.42578125" style="1" bestFit="1" customWidth="1"/>
    <col min="8337" max="8573" width="11.42578125" style="1"/>
    <col min="8574" max="8574" width="1.7109375" style="1" customWidth="1"/>
    <col min="8575" max="8575" width="45.42578125" style="1" customWidth="1"/>
    <col min="8576" max="8576" width="1.140625" style="1" customWidth="1"/>
    <col min="8577" max="8577" width="16.5703125" style="1" customWidth="1"/>
    <col min="8578" max="8578" width="0.7109375" style="1" customWidth="1"/>
    <col min="8579" max="8579" width="16.5703125" style="1" customWidth="1"/>
    <col min="8580" max="8580" width="0.7109375" style="1" customWidth="1"/>
    <col min="8581" max="8581" width="18" style="1" customWidth="1"/>
    <col min="8582" max="8582" width="1.140625" style="1" customWidth="1"/>
    <col min="8583" max="8583" width="15.28515625" style="1" customWidth="1"/>
    <col min="8584" max="8584" width="0.7109375" style="1" customWidth="1"/>
    <col min="8585" max="8585" width="15.28515625" style="1" customWidth="1"/>
    <col min="8586" max="8586" width="0.7109375" style="1" customWidth="1"/>
    <col min="8587" max="8587" width="15.28515625" style="1" customWidth="1"/>
    <col min="8588" max="8588" width="14.42578125" style="1" bestFit="1" customWidth="1"/>
    <col min="8589" max="8591" width="16" style="1" customWidth="1"/>
    <col min="8592" max="8592" width="14.42578125" style="1" bestFit="1" customWidth="1"/>
    <col min="8593" max="8829" width="11.42578125" style="1"/>
    <col min="8830" max="8830" width="1.7109375" style="1" customWidth="1"/>
    <col min="8831" max="8831" width="45.42578125" style="1" customWidth="1"/>
    <col min="8832" max="8832" width="1.140625" style="1" customWidth="1"/>
    <col min="8833" max="8833" width="16.5703125" style="1" customWidth="1"/>
    <col min="8834" max="8834" width="0.7109375" style="1" customWidth="1"/>
    <col min="8835" max="8835" width="16.5703125" style="1" customWidth="1"/>
    <col min="8836" max="8836" width="0.7109375" style="1" customWidth="1"/>
    <col min="8837" max="8837" width="18" style="1" customWidth="1"/>
    <col min="8838" max="8838" width="1.140625" style="1" customWidth="1"/>
    <col min="8839" max="8839" width="15.28515625" style="1" customWidth="1"/>
    <col min="8840" max="8840" width="0.7109375" style="1" customWidth="1"/>
    <col min="8841" max="8841" width="15.28515625" style="1" customWidth="1"/>
    <col min="8842" max="8842" width="0.7109375" style="1" customWidth="1"/>
    <col min="8843" max="8843" width="15.28515625" style="1" customWidth="1"/>
    <col min="8844" max="8844" width="14.42578125" style="1" bestFit="1" customWidth="1"/>
    <col min="8845" max="8847" width="16" style="1" customWidth="1"/>
    <col min="8848" max="8848" width="14.42578125" style="1" bestFit="1" customWidth="1"/>
    <col min="8849" max="9085" width="11.42578125" style="1"/>
    <col min="9086" max="9086" width="1.7109375" style="1" customWidth="1"/>
    <col min="9087" max="9087" width="45.42578125" style="1" customWidth="1"/>
    <col min="9088" max="9088" width="1.140625" style="1" customWidth="1"/>
    <col min="9089" max="9089" width="16.5703125" style="1" customWidth="1"/>
    <col min="9090" max="9090" width="0.7109375" style="1" customWidth="1"/>
    <col min="9091" max="9091" width="16.5703125" style="1" customWidth="1"/>
    <col min="9092" max="9092" width="0.7109375" style="1" customWidth="1"/>
    <col min="9093" max="9093" width="18" style="1" customWidth="1"/>
    <col min="9094" max="9094" width="1.140625" style="1" customWidth="1"/>
    <col min="9095" max="9095" width="15.28515625" style="1" customWidth="1"/>
    <col min="9096" max="9096" width="0.7109375" style="1" customWidth="1"/>
    <col min="9097" max="9097" width="15.28515625" style="1" customWidth="1"/>
    <col min="9098" max="9098" width="0.7109375" style="1" customWidth="1"/>
    <col min="9099" max="9099" width="15.28515625" style="1" customWidth="1"/>
    <col min="9100" max="9100" width="14.42578125" style="1" bestFit="1" customWidth="1"/>
    <col min="9101" max="9103" width="16" style="1" customWidth="1"/>
    <col min="9104" max="9104" width="14.42578125" style="1" bestFit="1" customWidth="1"/>
    <col min="9105" max="9341" width="11.42578125" style="1"/>
    <col min="9342" max="9342" width="1.7109375" style="1" customWidth="1"/>
    <col min="9343" max="9343" width="45.42578125" style="1" customWidth="1"/>
    <col min="9344" max="9344" width="1.140625" style="1" customWidth="1"/>
    <col min="9345" max="9345" width="16.5703125" style="1" customWidth="1"/>
    <col min="9346" max="9346" width="0.7109375" style="1" customWidth="1"/>
    <col min="9347" max="9347" width="16.5703125" style="1" customWidth="1"/>
    <col min="9348" max="9348" width="0.7109375" style="1" customWidth="1"/>
    <col min="9349" max="9349" width="18" style="1" customWidth="1"/>
    <col min="9350" max="9350" width="1.140625" style="1" customWidth="1"/>
    <col min="9351" max="9351" width="15.28515625" style="1" customWidth="1"/>
    <col min="9352" max="9352" width="0.7109375" style="1" customWidth="1"/>
    <col min="9353" max="9353" width="15.28515625" style="1" customWidth="1"/>
    <col min="9354" max="9354" width="0.7109375" style="1" customWidth="1"/>
    <col min="9355" max="9355" width="15.28515625" style="1" customWidth="1"/>
    <col min="9356" max="9356" width="14.42578125" style="1" bestFit="1" customWidth="1"/>
    <col min="9357" max="9359" width="16" style="1" customWidth="1"/>
    <col min="9360" max="9360" width="14.42578125" style="1" bestFit="1" customWidth="1"/>
    <col min="9361" max="9597" width="11.42578125" style="1"/>
    <col min="9598" max="9598" width="1.7109375" style="1" customWidth="1"/>
    <col min="9599" max="9599" width="45.42578125" style="1" customWidth="1"/>
    <col min="9600" max="9600" width="1.140625" style="1" customWidth="1"/>
    <col min="9601" max="9601" width="16.5703125" style="1" customWidth="1"/>
    <col min="9602" max="9602" width="0.7109375" style="1" customWidth="1"/>
    <col min="9603" max="9603" width="16.5703125" style="1" customWidth="1"/>
    <col min="9604" max="9604" width="0.7109375" style="1" customWidth="1"/>
    <col min="9605" max="9605" width="18" style="1" customWidth="1"/>
    <col min="9606" max="9606" width="1.140625" style="1" customWidth="1"/>
    <col min="9607" max="9607" width="15.28515625" style="1" customWidth="1"/>
    <col min="9608" max="9608" width="0.7109375" style="1" customWidth="1"/>
    <col min="9609" max="9609" width="15.28515625" style="1" customWidth="1"/>
    <col min="9610" max="9610" width="0.7109375" style="1" customWidth="1"/>
    <col min="9611" max="9611" width="15.28515625" style="1" customWidth="1"/>
    <col min="9612" max="9612" width="14.42578125" style="1" bestFit="1" customWidth="1"/>
    <col min="9613" max="9615" width="16" style="1" customWidth="1"/>
    <col min="9616" max="9616" width="14.42578125" style="1" bestFit="1" customWidth="1"/>
    <col min="9617" max="9853" width="11.42578125" style="1"/>
    <col min="9854" max="9854" width="1.7109375" style="1" customWidth="1"/>
    <col min="9855" max="9855" width="45.42578125" style="1" customWidth="1"/>
    <col min="9856" max="9856" width="1.140625" style="1" customWidth="1"/>
    <col min="9857" max="9857" width="16.5703125" style="1" customWidth="1"/>
    <col min="9858" max="9858" width="0.7109375" style="1" customWidth="1"/>
    <col min="9859" max="9859" width="16.5703125" style="1" customWidth="1"/>
    <col min="9860" max="9860" width="0.7109375" style="1" customWidth="1"/>
    <col min="9861" max="9861" width="18" style="1" customWidth="1"/>
    <col min="9862" max="9862" width="1.140625" style="1" customWidth="1"/>
    <col min="9863" max="9863" width="15.28515625" style="1" customWidth="1"/>
    <col min="9864" max="9864" width="0.7109375" style="1" customWidth="1"/>
    <col min="9865" max="9865" width="15.28515625" style="1" customWidth="1"/>
    <col min="9866" max="9866" width="0.7109375" style="1" customWidth="1"/>
    <col min="9867" max="9867" width="15.28515625" style="1" customWidth="1"/>
    <col min="9868" max="9868" width="14.42578125" style="1" bestFit="1" customWidth="1"/>
    <col min="9869" max="9871" width="16" style="1" customWidth="1"/>
    <col min="9872" max="9872" width="14.42578125" style="1" bestFit="1" customWidth="1"/>
    <col min="9873" max="10109" width="11.42578125" style="1"/>
    <col min="10110" max="10110" width="1.7109375" style="1" customWidth="1"/>
    <col min="10111" max="10111" width="45.42578125" style="1" customWidth="1"/>
    <col min="10112" max="10112" width="1.140625" style="1" customWidth="1"/>
    <col min="10113" max="10113" width="16.5703125" style="1" customWidth="1"/>
    <col min="10114" max="10114" width="0.7109375" style="1" customWidth="1"/>
    <col min="10115" max="10115" width="16.5703125" style="1" customWidth="1"/>
    <col min="10116" max="10116" width="0.7109375" style="1" customWidth="1"/>
    <col min="10117" max="10117" width="18" style="1" customWidth="1"/>
    <col min="10118" max="10118" width="1.140625" style="1" customWidth="1"/>
    <col min="10119" max="10119" width="15.28515625" style="1" customWidth="1"/>
    <col min="10120" max="10120" width="0.7109375" style="1" customWidth="1"/>
    <col min="10121" max="10121" width="15.28515625" style="1" customWidth="1"/>
    <col min="10122" max="10122" width="0.7109375" style="1" customWidth="1"/>
    <col min="10123" max="10123" width="15.28515625" style="1" customWidth="1"/>
    <col min="10124" max="10124" width="14.42578125" style="1" bestFit="1" customWidth="1"/>
    <col min="10125" max="10127" width="16" style="1" customWidth="1"/>
    <col min="10128" max="10128" width="14.42578125" style="1" bestFit="1" customWidth="1"/>
    <col min="10129" max="10365" width="11.42578125" style="1"/>
    <col min="10366" max="10366" width="1.7109375" style="1" customWidth="1"/>
    <col min="10367" max="10367" width="45.42578125" style="1" customWidth="1"/>
    <col min="10368" max="10368" width="1.140625" style="1" customWidth="1"/>
    <col min="10369" max="10369" width="16.5703125" style="1" customWidth="1"/>
    <col min="10370" max="10370" width="0.7109375" style="1" customWidth="1"/>
    <col min="10371" max="10371" width="16.5703125" style="1" customWidth="1"/>
    <col min="10372" max="10372" width="0.7109375" style="1" customWidth="1"/>
    <col min="10373" max="10373" width="18" style="1" customWidth="1"/>
    <col min="10374" max="10374" width="1.140625" style="1" customWidth="1"/>
    <col min="10375" max="10375" width="15.28515625" style="1" customWidth="1"/>
    <col min="10376" max="10376" width="0.7109375" style="1" customWidth="1"/>
    <col min="10377" max="10377" width="15.28515625" style="1" customWidth="1"/>
    <col min="10378" max="10378" width="0.7109375" style="1" customWidth="1"/>
    <col min="10379" max="10379" width="15.28515625" style="1" customWidth="1"/>
    <col min="10380" max="10380" width="14.42578125" style="1" bestFit="1" customWidth="1"/>
    <col min="10381" max="10383" width="16" style="1" customWidth="1"/>
    <col min="10384" max="10384" width="14.42578125" style="1" bestFit="1" customWidth="1"/>
    <col min="10385" max="10621" width="11.42578125" style="1"/>
    <col min="10622" max="10622" width="1.7109375" style="1" customWidth="1"/>
    <col min="10623" max="10623" width="45.42578125" style="1" customWidth="1"/>
    <col min="10624" max="10624" width="1.140625" style="1" customWidth="1"/>
    <col min="10625" max="10625" width="16.5703125" style="1" customWidth="1"/>
    <col min="10626" max="10626" width="0.7109375" style="1" customWidth="1"/>
    <col min="10627" max="10627" width="16.5703125" style="1" customWidth="1"/>
    <col min="10628" max="10628" width="0.7109375" style="1" customWidth="1"/>
    <col min="10629" max="10629" width="18" style="1" customWidth="1"/>
    <col min="10630" max="10630" width="1.140625" style="1" customWidth="1"/>
    <col min="10631" max="10631" width="15.28515625" style="1" customWidth="1"/>
    <col min="10632" max="10632" width="0.7109375" style="1" customWidth="1"/>
    <col min="10633" max="10633" width="15.28515625" style="1" customWidth="1"/>
    <col min="10634" max="10634" width="0.7109375" style="1" customWidth="1"/>
    <col min="10635" max="10635" width="15.28515625" style="1" customWidth="1"/>
    <col min="10636" max="10636" width="14.42578125" style="1" bestFit="1" customWidth="1"/>
    <col min="10637" max="10639" width="16" style="1" customWidth="1"/>
    <col min="10640" max="10640" width="14.42578125" style="1" bestFit="1" customWidth="1"/>
    <col min="10641" max="10877" width="11.42578125" style="1"/>
    <col min="10878" max="10878" width="1.7109375" style="1" customWidth="1"/>
    <col min="10879" max="10879" width="45.42578125" style="1" customWidth="1"/>
    <col min="10880" max="10880" width="1.140625" style="1" customWidth="1"/>
    <col min="10881" max="10881" width="16.5703125" style="1" customWidth="1"/>
    <col min="10882" max="10882" width="0.7109375" style="1" customWidth="1"/>
    <col min="10883" max="10883" width="16.5703125" style="1" customWidth="1"/>
    <col min="10884" max="10884" width="0.7109375" style="1" customWidth="1"/>
    <col min="10885" max="10885" width="18" style="1" customWidth="1"/>
    <col min="10886" max="10886" width="1.140625" style="1" customWidth="1"/>
    <col min="10887" max="10887" width="15.28515625" style="1" customWidth="1"/>
    <col min="10888" max="10888" width="0.7109375" style="1" customWidth="1"/>
    <col min="10889" max="10889" width="15.28515625" style="1" customWidth="1"/>
    <col min="10890" max="10890" width="0.7109375" style="1" customWidth="1"/>
    <col min="10891" max="10891" width="15.28515625" style="1" customWidth="1"/>
    <col min="10892" max="10892" width="14.42578125" style="1" bestFit="1" customWidth="1"/>
    <col min="10893" max="10895" width="16" style="1" customWidth="1"/>
    <col min="10896" max="10896" width="14.42578125" style="1" bestFit="1" customWidth="1"/>
    <col min="10897" max="11133" width="11.42578125" style="1"/>
    <col min="11134" max="11134" width="1.7109375" style="1" customWidth="1"/>
    <col min="11135" max="11135" width="45.42578125" style="1" customWidth="1"/>
    <col min="11136" max="11136" width="1.140625" style="1" customWidth="1"/>
    <col min="11137" max="11137" width="16.5703125" style="1" customWidth="1"/>
    <col min="11138" max="11138" width="0.7109375" style="1" customWidth="1"/>
    <col min="11139" max="11139" width="16.5703125" style="1" customWidth="1"/>
    <col min="11140" max="11140" width="0.7109375" style="1" customWidth="1"/>
    <col min="11141" max="11141" width="18" style="1" customWidth="1"/>
    <col min="11142" max="11142" width="1.140625" style="1" customWidth="1"/>
    <col min="11143" max="11143" width="15.28515625" style="1" customWidth="1"/>
    <col min="11144" max="11144" width="0.7109375" style="1" customWidth="1"/>
    <col min="11145" max="11145" width="15.28515625" style="1" customWidth="1"/>
    <col min="11146" max="11146" width="0.7109375" style="1" customWidth="1"/>
    <col min="11147" max="11147" width="15.28515625" style="1" customWidth="1"/>
    <col min="11148" max="11148" width="14.42578125" style="1" bestFit="1" customWidth="1"/>
    <col min="11149" max="11151" width="16" style="1" customWidth="1"/>
    <col min="11152" max="11152" width="14.42578125" style="1" bestFit="1" customWidth="1"/>
    <col min="11153" max="11389" width="11.42578125" style="1"/>
    <col min="11390" max="11390" width="1.7109375" style="1" customWidth="1"/>
    <col min="11391" max="11391" width="45.42578125" style="1" customWidth="1"/>
    <col min="11392" max="11392" width="1.140625" style="1" customWidth="1"/>
    <col min="11393" max="11393" width="16.5703125" style="1" customWidth="1"/>
    <col min="11394" max="11394" width="0.7109375" style="1" customWidth="1"/>
    <col min="11395" max="11395" width="16.5703125" style="1" customWidth="1"/>
    <col min="11396" max="11396" width="0.7109375" style="1" customWidth="1"/>
    <col min="11397" max="11397" width="18" style="1" customWidth="1"/>
    <col min="11398" max="11398" width="1.140625" style="1" customWidth="1"/>
    <col min="11399" max="11399" width="15.28515625" style="1" customWidth="1"/>
    <col min="11400" max="11400" width="0.7109375" style="1" customWidth="1"/>
    <col min="11401" max="11401" width="15.28515625" style="1" customWidth="1"/>
    <col min="11402" max="11402" width="0.7109375" style="1" customWidth="1"/>
    <col min="11403" max="11403" width="15.28515625" style="1" customWidth="1"/>
    <col min="11404" max="11404" width="14.42578125" style="1" bestFit="1" customWidth="1"/>
    <col min="11405" max="11407" width="16" style="1" customWidth="1"/>
    <col min="11408" max="11408" width="14.42578125" style="1" bestFit="1" customWidth="1"/>
    <col min="11409" max="11645" width="11.42578125" style="1"/>
    <col min="11646" max="11646" width="1.7109375" style="1" customWidth="1"/>
    <col min="11647" max="11647" width="45.42578125" style="1" customWidth="1"/>
    <col min="11648" max="11648" width="1.140625" style="1" customWidth="1"/>
    <col min="11649" max="11649" width="16.5703125" style="1" customWidth="1"/>
    <col min="11650" max="11650" width="0.7109375" style="1" customWidth="1"/>
    <col min="11651" max="11651" width="16.5703125" style="1" customWidth="1"/>
    <col min="11652" max="11652" width="0.7109375" style="1" customWidth="1"/>
    <col min="11653" max="11653" width="18" style="1" customWidth="1"/>
    <col min="11654" max="11654" width="1.140625" style="1" customWidth="1"/>
    <col min="11655" max="11655" width="15.28515625" style="1" customWidth="1"/>
    <col min="11656" max="11656" width="0.7109375" style="1" customWidth="1"/>
    <col min="11657" max="11657" width="15.28515625" style="1" customWidth="1"/>
    <col min="11658" max="11658" width="0.7109375" style="1" customWidth="1"/>
    <col min="11659" max="11659" width="15.28515625" style="1" customWidth="1"/>
    <col min="11660" max="11660" width="14.42578125" style="1" bestFit="1" customWidth="1"/>
    <col min="11661" max="11663" width="16" style="1" customWidth="1"/>
    <col min="11664" max="11664" width="14.42578125" style="1" bestFit="1" customWidth="1"/>
    <col min="11665" max="11901" width="11.42578125" style="1"/>
    <col min="11902" max="11902" width="1.7109375" style="1" customWidth="1"/>
    <col min="11903" max="11903" width="45.42578125" style="1" customWidth="1"/>
    <col min="11904" max="11904" width="1.140625" style="1" customWidth="1"/>
    <col min="11905" max="11905" width="16.5703125" style="1" customWidth="1"/>
    <col min="11906" max="11906" width="0.7109375" style="1" customWidth="1"/>
    <col min="11907" max="11907" width="16.5703125" style="1" customWidth="1"/>
    <col min="11908" max="11908" width="0.7109375" style="1" customWidth="1"/>
    <col min="11909" max="11909" width="18" style="1" customWidth="1"/>
    <col min="11910" max="11910" width="1.140625" style="1" customWidth="1"/>
    <col min="11911" max="11911" width="15.28515625" style="1" customWidth="1"/>
    <col min="11912" max="11912" width="0.7109375" style="1" customWidth="1"/>
    <col min="11913" max="11913" width="15.28515625" style="1" customWidth="1"/>
    <col min="11914" max="11914" width="0.7109375" style="1" customWidth="1"/>
    <col min="11915" max="11915" width="15.28515625" style="1" customWidth="1"/>
    <col min="11916" max="11916" width="14.42578125" style="1" bestFit="1" customWidth="1"/>
    <col min="11917" max="11919" width="16" style="1" customWidth="1"/>
    <col min="11920" max="11920" width="14.42578125" style="1" bestFit="1" customWidth="1"/>
    <col min="11921" max="12157" width="11.42578125" style="1"/>
    <col min="12158" max="12158" width="1.7109375" style="1" customWidth="1"/>
    <col min="12159" max="12159" width="45.42578125" style="1" customWidth="1"/>
    <col min="12160" max="12160" width="1.140625" style="1" customWidth="1"/>
    <col min="12161" max="12161" width="16.5703125" style="1" customWidth="1"/>
    <col min="12162" max="12162" width="0.7109375" style="1" customWidth="1"/>
    <col min="12163" max="12163" width="16.5703125" style="1" customWidth="1"/>
    <col min="12164" max="12164" width="0.7109375" style="1" customWidth="1"/>
    <col min="12165" max="12165" width="18" style="1" customWidth="1"/>
    <col min="12166" max="12166" width="1.140625" style="1" customWidth="1"/>
    <col min="12167" max="12167" width="15.28515625" style="1" customWidth="1"/>
    <col min="12168" max="12168" width="0.7109375" style="1" customWidth="1"/>
    <col min="12169" max="12169" width="15.28515625" style="1" customWidth="1"/>
    <col min="12170" max="12170" width="0.7109375" style="1" customWidth="1"/>
    <col min="12171" max="12171" width="15.28515625" style="1" customWidth="1"/>
    <col min="12172" max="12172" width="14.42578125" style="1" bestFit="1" customWidth="1"/>
    <col min="12173" max="12175" width="16" style="1" customWidth="1"/>
    <col min="12176" max="12176" width="14.42578125" style="1" bestFit="1" customWidth="1"/>
    <col min="12177" max="12413" width="11.42578125" style="1"/>
    <col min="12414" max="12414" width="1.7109375" style="1" customWidth="1"/>
    <col min="12415" max="12415" width="45.42578125" style="1" customWidth="1"/>
    <col min="12416" max="12416" width="1.140625" style="1" customWidth="1"/>
    <col min="12417" max="12417" width="16.5703125" style="1" customWidth="1"/>
    <col min="12418" max="12418" width="0.7109375" style="1" customWidth="1"/>
    <col min="12419" max="12419" width="16.5703125" style="1" customWidth="1"/>
    <col min="12420" max="12420" width="0.7109375" style="1" customWidth="1"/>
    <col min="12421" max="12421" width="18" style="1" customWidth="1"/>
    <col min="12422" max="12422" width="1.140625" style="1" customWidth="1"/>
    <col min="12423" max="12423" width="15.28515625" style="1" customWidth="1"/>
    <col min="12424" max="12424" width="0.7109375" style="1" customWidth="1"/>
    <col min="12425" max="12425" width="15.28515625" style="1" customWidth="1"/>
    <col min="12426" max="12426" width="0.7109375" style="1" customWidth="1"/>
    <col min="12427" max="12427" width="15.28515625" style="1" customWidth="1"/>
    <col min="12428" max="12428" width="14.42578125" style="1" bestFit="1" customWidth="1"/>
    <col min="12429" max="12431" width="16" style="1" customWidth="1"/>
    <col min="12432" max="12432" width="14.42578125" style="1" bestFit="1" customWidth="1"/>
    <col min="12433" max="12669" width="11.42578125" style="1"/>
    <col min="12670" max="12670" width="1.7109375" style="1" customWidth="1"/>
    <col min="12671" max="12671" width="45.42578125" style="1" customWidth="1"/>
    <col min="12672" max="12672" width="1.140625" style="1" customWidth="1"/>
    <col min="12673" max="12673" width="16.5703125" style="1" customWidth="1"/>
    <col min="12674" max="12674" width="0.7109375" style="1" customWidth="1"/>
    <col min="12675" max="12675" width="16.5703125" style="1" customWidth="1"/>
    <col min="12676" max="12676" width="0.7109375" style="1" customWidth="1"/>
    <col min="12677" max="12677" width="18" style="1" customWidth="1"/>
    <col min="12678" max="12678" width="1.140625" style="1" customWidth="1"/>
    <col min="12679" max="12679" width="15.28515625" style="1" customWidth="1"/>
    <col min="12680" max="12680" width="0.7109375" style="1" customWidth="1"/>
    <col min="12681" max="12681" width="15.28515625" style="1" customWidth="1"/>
    <col min="12682" max="12682" width="0.7109375" style="1" customWidth="1"/>
    <col min="12683" max="12683" width="15.28515625" style="1" customWidth="1"/>
    <col min="12684" max="12684" width="14.42578125" style="1" bestFit="1" customWidth="1"/>
    <col min="12685" max="12687" width="16" style="1" customWidth="1"/>
    <col min="12688" max="12688" width="14.42578125" style="1" bestFit="1" customWidth="1"/>
    <col min="12689" max="12925" width="11.42578125" style="1"/>
    <col min="12926" max="12926" width="1.7109375" style="1" customWidth="1"/>
    <col min="12927" max="12927" width="45.42578125" style="1" customWidth="1"/>
    <col min="12928" max="12928" width="1.140625" style="1" customWidth="1"/>
    <col min="12929" max="12929" width="16.5703125" style="1" customWidth="1"/>
    <col min="12930" max="12930" width="0.7109375" style="1" customWidth="1"/>
    <col min="12931" max="12931" width="16.5703125" style="1" customWidth="1"/>
    <col min="12932" max="12932" width="0.7109375" style="1" customWidth="1"/>
    <col min="12933" max="12933" width="18" style="1" customWidth="1"/>
    <col min="12934" max="12934" width="1.140625" style="1" customWidth="1"/>
    <col min="12935" max="12935" width="15.28515625" style="1" customWidth="1"/>
    <col min="12936" max="12936" width="0.7109375" style="1" customWidth="1"/>
    <col min="12937" max="12937" width="15.28515625" style="1" customWidth="1"/>
    <col min="12938" max="12938" width="0.7109375" style="1" customWidth="1"/>
    <col min="12939" max="12939" width="15.28515625" style="1" customWidth="1"/>
    <col min="12940" max="12940" width="14.42578125" style="1" bestFit="1" customWidth="1"/>
    <col min="12941" max="12943" width="16" style="1" customWidth="1"/>
    <col min="12944" max="12944" width="14.42578125" style="1" bestFit="1" customWidth="1"/>
    <col min="12945" max="13181" width="11.42578125" style="1"/>
    <col min="13182" max="13182" width="1.7109375" style="1" customWidth="1"/>
    <col min="13183" max="13183" width="45.42578125" style="1" customWidth="1"/>
    <col min="13184" max="13184" width="1.140625" style="1" customWidth="1"/>
    <col min="13185" max="13185" width="16.5703125" style="1" customWidth="1"/>
    <col min="13186" max="13186" width="0.7109375" style="1" customWidth="1"/>
    <col min="13187" max="13187" width="16.5703125" style="1" customWidth="1"/>
    <col min="13188" max="13188" width="0.7109375" style="1" customWidth="1"/>
    <col min="13189" max="13189" width="18" style="1" customWidth="1"/>
    <col min="13190" max="13190" width="1.140625" style="1" customWidth="1"/>
    <col min="13191" max="13191" width="15.28515625" style="1" customWidth="1"/>
    <col min="13192" max="13192" width="0.7109375" style="1" customWidth="1"/>
    <col min="13193" max="13193" width="15.28515625" style="1" customWidth="1"/>
    <col min="13194" max="13194" width="0.7109375" style="1" customWidth="1"/>
    <col min="13195" max="13195" width="15.28515625" style="1" customWidth="1"/>
    <col min="13196" max="13196" width="14.42578125" style="1" bestFit="1" customWidth="1"/>
    <col min="13197" max="13199" width="16" style="1" customWidth="1"/>
    <col min="13200" max="13200" width="14.42578125" style="1" bestFit="1" customWidth="1"/>
    <col min="13201" max="13437" width="11.42578125" style="1"/>
    <col min="13438" max="13438" width="1.7109375" style="1" customWidth="1"/>
    <col min="13439" max="13439" width="45.42578125" style="1" customWidth="1"/>
    <col min="13440" max="13440" width="1.140625" style="1" customWidth="1"/>
    <col min="13441" max="13441" width="16.5703125" style="1" customWidth="1"/>
    <col min="13442" max="13442" width="0.7109375" style="1" customWidth="1"/>
    <col min="13443" max="13443" width="16.5703125" style="1" customWidth="1"/>
    <col min="13444" max="13444" width="0.7109375" style="1" customWidth="1"/>
    <col min="13445" max="13445" width="18" style="1" customWidth="1"/>
    <col min="13446" max="13446" width="1.140625" style="1" customWidth="1"/>
    <col min="13447" max="13447" width="15.28515625" style="1" customWidth="1"/>
    <col min="13448" max="13448" width="0.7109375" style="1" customWidth="1"/>
    <col min="13449" max="13449" width="15.28515625" style="1" customWidth="1"/>
    <col min="13450" max="13450" width="0.7109375" style="1" customWidth="1"/>
    <col min="13451" max="13451" width="15.28515625" style="1" customWidth="1"/>
    <col min="13452" max="13452" width="14.42578125" style="1" bestFit="1" customWidth="1"/>
    <col min="13453" max="13455" width="16" style="1" customWidth="1"/>
    <col min="13456" max="13456" width="14.42578125" style="1" bestFit="1" customWidth="1"/>
    <col min="13457" max="13693" width="11.42578125" style="1"/>
    <col min="13694" max="13694" width="1.7109375" style="1" customWidth="1"/>
    <col min="13695" max="13695" width="45.42578125" style="1" customWidth="1"/>
    <col min="13696" max="13696" width="1.140625" style="1" customWidth="1"/>
    <col min="13697" max="13697" width="16.5703125" style="1" customWidth="1"/>
    <col min="13698" max="13698" width="0.7109375" style="1" customWidth="1"/>
    <col min="13699" max="13699" width="16.5703125" style="1" customWidth="1"/>
    <col min="13700" max="13700" width="0.7109375" style="1" customWidth="1"/>
    <col min="13701" max="13701" width="18" style="1" customWidth="1"/>
    <col min="13702" max="13702" width="1.140625" style="1" customWidth="1"/>
    <col min="13703" max="13703" width="15.28515625" style="1" customWidth="1"/>
    <col min="13704" max="13704" width="0.7109375" style="1" customWidth="1"/>
    <col min="13705" max="13705" width="15.28515625" style="1" customWidth="1"/>
    <col min="13706" max="13706" width="0.7109375" style="1" customWidth="1"/>
    <col min="13707" max="13707" width="15.28515625" style="1" customWidth="1"/>
    <col min="13708" max="13708" width="14.42578125" style="1" bestFit="1" customWidth="1"/>
    <col min="13709" max="13711" width="16" style="1" customWidth="1"/>
    <col min="13712" max="13712" width="14.42578125" style="1" bestFit="1" customWidth="1"/>
    <col min="13713" max="13949" width="11.42578125" style="1"/>
    <col min="13950" max="13950" width="1.7109375" style="1" customWidth="1"/>
    <col min="13951" max="13951" width="45.42578125" style="1" customWidth="1"/>
    <col min="13952" max="13952" width="1.140625" style="1" customWidth="1"/>
    <col min="13953" max="13953" width="16.5703125" style="1" customWidth="1"/>
    <col min="13954" max="13954" width="0.7109375" style="1" customWidth="1"/>
    <col min="13955" max="13955" width="16.5703125" style="1" customWidth="1"/>
    <col min="13956" max="13956" width="0.7109375" style="1" customWidth="1"/>
    <col min="13957" max="13957" width="18" style="1" customWidth="1"/>
    <col min="13958" max="13958" width="1.140625" style="1" customWidth="1"/>
    <col min="13959" max="13959" width="15.28515625" style="1" customWidth="1"/>
    <col min="13960" max="13960" width="0.7109375" style="1" customWidth="1"/>
    <col min="13961" max="13961" width="15.28515625" style="1" customWidth="1"/>
    <col min="13962" max="13962" width="0.7109375" style="1" customWidth="1"/>
    <col min="13963" max="13963" width="15.28515625" style="1" customWidth="1"/>
    <col min="13964" max="13964" width="14.42578125" style="1" bestFit="1" customWidth="1"/>
    <col min="13965" max="13967" width="16" style="1" customWidth="1"/>
    <col min="13968" max="13968" width="14.42578125" style="1" bestFit="1" customWidth="1"/>
    <col min="13969" max="14205" width="11.42578125" style="1"/>
    <col min="14206" max="14206" width="1.7109375" style="1" customWidth="1"/>
    <col min="14207" max="14207" width="45.42578125" style="1" customWidth="1"/>
    <col min="14208" max="14208" width="1.140625" style="1" customWidth="1"/>
    <col min="14209" max="14209" width="16.5703125" style="1" customWidth="1"/>
    <col min="14210" max="14210" width="0.7109375" style="1" customWidth="1"/>
    <col min="14211" max="14211" width="16.5703125" style="1" customWidth="1"/>
    <col min="14212" max="14212" width="0.7109375" style="1" customWidth="1"/>
    <col min="14213" max="14213" width="18" style="1" customWidth="1"/>
    <col min="14214" max="14214" width="1.140625" style="1" customWidth="1"/>
    <col min="14215" max="14215" width="15.28515625" style="1" customWidth="1"/>
    <col min="14216" max="14216" width="0.7109375" style="1" customWidth="1"/>
    <col min="14217" max="14217" width="15.28515625" style="1" customWidth="1"/>
    <col min="14218" max="14218" width="0.7109375" style="1" customWidth="1"/>
    <col min="14219" max="14219" width="15.28515625" style="1" customWidth="1"/>
    <col min="14220" max="14220" width="14.42578125" style="1" bestFit="1" customWidth="1"/>
    <col min="14221" max="14223" width="16" style="1" customWidth="1"/>
    <col min="14224" max="14224" width="14.42578125" style="1" bestFit="1" customWidth="1"/>
    <col min="14225" max="14461" width="11.42578125" style="1"/>
    <col min="14462" max="14462" width="1.7109375" style="1" customWidth="1"/>
    <col min="14463" max="14463" width="45.42578125" style="1" customWidth="1"/>
    <col min="14464" max="14464" width="1.140625" style="1" customWidth="1"/>
    <col min="14465" max="14465" width="16.5703125" style="1" customWidth="1"/>
    <col min="14466" max="14466" width="0.7109375" style="1" customWidth="1"/>
    <col min="14467" max="14467" width="16.5703125" style="1" customWidth="1"/>
    <col min="14468" max="14468" width="0.7109375" style="1" customWidth="1"/>
    <col min="14469" max="14469" width="18" style="1" customWidth="1"/>
    <col min="14470" max="14470" width="1.140625" style="1" customWidth="1"/>
    <col min="14471" max="14471" width="15.28515625" style="1" customWidth="1"/>
    <col min="14472" max="14472" width="0.7109375" style="1" customWidth="1"/>
    <col min="14473" max="14473" width="15.28515625" style="1" customWidth="1"/>
    <col min="14474" max="14474" width="0.7109375" style="1" customWidth="1"/>
    <col min="14475" max="14475" width="15.28515625" style="1" customWidth="1"/>
    <col min="14476" max="14476" width="14.42578125" style="1" bestFit="1" customWidth="1"/>
    <col min="14477" max="14479" width="16" style="1" customWidth="1"/>
    <col min="14480" max="14480" width="14.42578125" style="1" bestFit="1" customWidth="1"/>
    <col min="14481" max="14717" width="11.42578125" style="1"/>
    <col min="14718" max="14718" width="1.7109375" style="1" customWidth="1"/>
    <col min="14719" max="14719" width="45.42578125" style="1" customWidth="1"/>
    <col min="14720" max="14720" width="1.140625" style="1" customWidth="1"/>
    <col min="14721" max="14721" width="16.5703125" style="1" customWidth="1"/>
    <col min="14722" max="14722" width="0.7109375" style="1" customWidth="1"/>
    <col min="14723" max="14723" width="16.5703125" style="1" customWidth="1"/>
    <col min="14724" max="14724" width="0.7109375" style="1" customWidth="1"/>
    <col min="14725" max="14725" width="18" style="1" customWidth="1"/>
    <col min="14726" max="14726" width="1.140625" style="1" customWidth="1"/>
    <col min="14727" max="14727" width="15.28515625" style="1" customWidth="1"/>
    <col min="14728" max="14728" width="0.7109375" style="1" customWidth="1"/>
    <col min="14729" max="14729" width="15.28515625" style="1" customWidth="1"/>
    <col min="14730" max="14730" width="0.7109375" style="1" customWidth="1"/>
    <col min="14731" max="14731" width="15.28515625" style="1" customWidth="1"/>
    <col min="14732" max="14732" width="14.42578125" style="1" bestFit="1" customWidth="1"/>
    <col min="14733" max="14735" width="16" style="1" customWidth="1"/>
    <col min="14736" max="14736" width="14.42578125" style="1" bestFit="1" customWidth="1"/>
    <col min="14737" max="14973" width="11.42578125" style="1"/>
    <col min="14974" max="14974" width="1.7109375" style="1" customWidth="1"/>
    <col min="14975" max="14975" width="45.42578125" style="1" customWidth="1"/>
    <col min="14976" max="14976" width="1.140625" style="1" customWidth="1"/>
    <col min="14977" max="14977" width="16.5703125" style="1" customWidth="1"/>
    <col min="14978" max="14978" width="0.7109375" style="1" customWidth="1"/>
    <col min="14979" max="14979" width="16.5703125" style="1" customWidth="1"/>
    <col min="14980" max="14980" width="0.7109375" style="1" customWidth="1"/>
    <col min="14981" max="14981" width="18" style="1" customWidth="1"/>
    <col min="14982" max="14982" width="1.140625" style="1" customWidth="1"/>
    <col min="14983" max="14983" width="15.28515625" style="1" customWidth="1"/>
    <col min="14984" max="14984" width="0.7109375" style="1" customWidth="1"/>
    <col min="14985" max="14985" width="15.28515625" style="1" customWidth="1"/>
    <col min="14986" max="14986" width="0.7109375" style="1" customWidth="1"/>
    <col min="14987" max="14987" width="15.28515625" style="1" customWidth="1"/>
    <col min="14988" max="14988" width="14.42578125" style="1" bestFit="1" customWidth="1"/>
    <col min="14989" max="14991" width="16" style="1" customWidth="1"/>
    <col min="14992" max="14992" width="14.42578125" style="1" bestFit="1" customWidth="1"/>
    <col min="14993" max="15229" width="11.42578125" style="1"/>
    <col min="15230" max="15230" width="1.7109375" style="1" customWidth="1"/>
    <col min="15231" max="15231" width="45.42578125" style="1" customWidth="1"/>
    <col min="15232" max="15232" width="1.140625" style="1" customWidth="1"/>
    <col min="15233" max="15233" width="16.5703125" style="1" customWidth="1"/>
    <col min="15234" max="15234" width="0.7109375" style="1" customWidth="1"/>
    <col min="15235" max="15235" width="16.5703125" style="1" customWidth="1"/>
    <col min="15236" max="15236" width="0.7109375" style="1" customWidth="1"/>
    <col min="15237" max="15237" width="18" style="1" customWidth="1"/>
    <col min="15238" max="15238" width="1.140625" style="1" customWidth="1"/>
    <col min="15239" max="15239" width="15.28515625" style="1" customWidth="1"/>
    <col min="15240" max="15240" width="0.7109375" style="1" customWidth="1"/>
    <col min="15241" max="15241" width="15.28515625" style="1" customWidth="1"/>
    <col min="15242" max="15242" width="0.7109375" style="1" customWidth="1"/>
    <col min="15243" max="15243" width="15.28515625" style="1" customWidth="1"/>
    <col min="15244" max="15244" width="14.42578125" style="1" bestFit="1" customWidth="1"/>
    <col min="15245" max="15247" width="16" style="1" customWidth="1"/>
    <col min="15248" max="15248" width="14.42578125" style="1" bestFit="1" customWidth="1"/>
    <col min="15249" max="15485" width="11.42578125" style="1"/>
    <col min="15486" max="15486" width="1.7109375" style="1" customWidth="1"/>
    <col min="15487" max="15487" width="45.42578125" style="1" customWidth="1"/>
    <col min="15488" max="15488" width="1.140625" style="1" customWidth="1"/>
    <col min="15489" max="15489" width="16.5703125" style="1" customWidth="1"/>
    <col min="15490" max="15490" width="0.7109375" style="1" customWidth="1"/>
    <col min="15491" max="15491" width="16.5703125" style="1" customWidth="1"/>
    <col min="15492" max="15492" width="0.7109375" style="1" customWidth="1"/>
    <col min="15493" max="15493" width="18" style="1" customWidth="1"/>
    <col min="15494" max="15494" width="1.140625" style="1" customWidth="1"/>
    <col min="15495" max="15495" width="15.28515625" style="1" customWidth="1"/>
    <col min="15496" max="15496" width="0.7109375" style="1" customWidth="1"/>
    <col min="15497" max="15497" width="15.28515625" style="1" customWidth="1"/>
    <col min="15498" max="15498" width="0.7109375" style="1" customWidth="1"/>
    <col min="15499" max="15499" width="15.28515625" style="1" customWidth="1"/>
    <col min="15500" max="15500" width="14.42578125" style="1" bestFit="1" customWidth="1"/>
    <col min="15501" max="15503" width="16" style="1" customWidth="1"/>
    <col min="15504" max="15504" width="14.42578125" style="1" bestFit="1" customWidth="1"/>
    <col min="15505" max="15741" width="11.42578125" style="1"/>
    <col min="15742" max="15742" width="1.7109375" style="1" customWidth="1"/>
    <col min="15743" max="15743" width="45.42578125" style="1" customWidth="1"/>
    <col min="15744" max="15744" width="1.140625" style="1" customWidth="1"/>
    <col min="15745" max="15745" width="16.5703125" style="1" customWidth="1"/>
    <col min="15746" max="15746" width="0.7109375" style="1" customWidth="1"/>
    <col min="15747" max="15747" width="16.5703125" style="1" customWidth="1"/>
    <col min="15748" max="15748" width="0.7109375" style="1" customWidth="1"/>
    <col min="15749" max="15749" width="18" style="1" customWidth="1"/>
    <col min="15750" max="15750" width="1.140625" style="1" customWidth="1"/>
    <col min="15751" max="15751" width="15.28515625" style="1" customWidth="1"/>
    <col min="15752" max="15752" width="0.7109375" style="1" customWidth="1"/>
    <col min="15753" max="15753" width="15.28515625" style="1" customWidth="1"/>
    <col min="15754" max="15754" width="0.7109375" style="1" customWidth="1"/>
    <col min="15755" max="15755" width="15.28515625" style="1" customWidth="1"/>
    <col min="15756" max="15756" width="14.42578125" style="1" bestFit="1" customWidth="1"/>
    <col min="15757" max="15759" width="16" style="1" customWidth="1"/>
    <col min="15760" max="15760" width="14.42578125" style="1" bestFit="1" customWidth="1"/>
    <col min="15761" max="15997" width="11.42578125" style="1"/>
    <col min="15998" max="15998" width="1.7109375" style="1" customWidth="1"/>
    <col min="15999" max="15999" width="45.42578125" style="1" customWidth="1"/>
    <col min="16000" max="16000" width="1.140625" style="1" customWidth="1"/>
    <col min="16001" max="16001" width="16.5703125" style="1" customWidth="1"/>
    <col min="16002" max="16002" width="0.7109375" style="1" customWidth="1"/>
    <col min="16003" max="16003" width="16.5703125" style="1" customWidth="1"/>
    <col min="16004" max="16004" width="0.7109375" style="1" customWidth="1"/>
    <col min="16005" max="16005" width="18" style="1" customWidth="1"/>
    <col min="16006" max="16006" width="1.140625" style="1" customWidth="1"/>
    <col min="16007" max="16007" width="15.28515625" style="1" customWidth="1"/>
    <col min="16008" max="16008" width="0.7109375" style="1" customWidth="1"/>
    <col min="16009" max="16009" width="15.28515625" style="1" customWidth="1"/>
    <col min="16010" max="16010" width="0.7109375" style="1" customWidth="1"/>
    <col min="16011" max="16011" width="15.28515625" style="1" customWidth="1"/>
    <col min="16012" max="16012" width="14.42578125" style="1" bestFit="1" customWidth="1"/>
    <col min="16013" max="16015" width="16" style="1" customWidth="1"/>
    <col min="16016" max="16016" width="14.42578125" style="1" bestFit="1" customWidth="1"/>
    <col min="16017" max="16384" width="11.42578125" style="1"/>
  </cols>
  <sheetData>
    <row r="1" spans="1:19" ht="7.5" customHeight="1">
      <c r="A1" s="1" t="s">
        <v>0</v>
      </c>
    </row>
    <row r="2" spans="1:19" ht="18">
      <c r="B2" s="137" t="s">
        <v>1</v>
      </c>
      <c r="C2" s="137"/>
      <c r="D2" s="137"/>
      <c r="E2" s="137"/>
      <c r="F2" s="137"/>
      <c r="G2" s="137"/>
      <c r="H2" s="137"/>
      <c r="I2" s="137"/>
      <c r="J2" s="137"/>
      <c r="K2" s="137"/>
      <c r="L2" s="137"/>
      <c r="M2" s="137"/>
      <c r="N2" s="137"/>
    </row>
    <row r="3" spans="1:19">
      <c r="P3" s="108">
        <v>45838</v>
      </c>
    </row>
    <row r="4" spans="1:19" s="2" customFormat="1" ht="20.25">
      <c r="B4" s="138" t="s">
        <v>2</v>
      </c>
      <c r="C4" s="139"/>
      <c r="D4" s="139"/>
      <c r="E4" s="139"/>
      <c r="F4" s="139"/>
      <c r="G4" s="139"/>
      <c r="H4" s="140"/>
      <c r="P4" s="107">
        <v>4783.8599999999997</v>
      </c>
      <c r="Q4" s="2" t="s">
        <v>3</v>
      </c>
    </row>
    <row r="5" spans="1:19" s="2" customFormat="1" ht="20.25" customHeight="1">
      <c r="B5" s="3" t="s">
        <v>4</v>
      </c>
      <c r="N5" s="1"/>
    </row>
    <row r="6" spans="1:19" ht="15" customHeight="1">
      <c r="B6" s="4"/>
    </row>
    <row r="7" spans="1:19" ht="12.75" customHeight="1">
      <c r="B7" s="5"/>
      <c r="C7" s="5"/>
      <c r="D7" s="141" t="s">
        <v>5</v>
      </c>
      <c r="E7" s="141"/>
      <c r="F7" s="142" t="s">
        <v>6</v>
      </c>
      <c r="G7" s="142"/>
      <c r="H7" s="143" t="str">
        <f>+B5&amp;" (Mes)"</f>
        <v>Julio (Mes)</v>
      </c>
      <c r="I7" s="143"/>
      <c r="J7" s="144">
        <v>4783.8599999999997</v>
      </c>
      <c r="K7" s="145"/>
      <c r="N7" s="45"/>
    </row>
    <row r="8" spans="1:19" ht="12.75" customHeight="1">
      <c r="B8" s="5"/>
      <c r="C8" s="5"/>
      <c r="D8" s="141"/>
      <c r="E8" s="141"/>
      <c r="F8" s="142"/>
      <c r="G8" s="142"/>
      <c r="H8" s="143" t="s">
        <v>7</v>
      </c>
      <c r="I8" s="143"/>
      <c r="J8" s="144">
        <v>4777.18</v>
      </c>
      <c r="K8" s="145"/>
      <c r="N8" s="46"/>
      <c r="P8" s="50">
        <v>14867714.716000002</v>
      </c>
      <c r="Q8" s="51" t="s">
        <v>8</v>
      </c>
    </row>
    <row r="9" spans="1:19" ht="12.75" customHeight="1">
      <c r="B9" s="5"/>
      <c r="C9" s="5"/>
      <c r="D9" s="141"/>
      <c r="E9" s="141"/>
      <c r="F9" s="142"/>
      <c r="G9" s="142"/>
      <c r="H9" s="143" t="s">
        <v>9</v>
      </c>
      <c r="I9" s="143"/>
      <c r="J9" s="146">
        <v>4565.67</v>
      </c>
      <c r="K9" s="146"/>
      <c r="N9" s="46"/>
      <c r="P9" s="51"/>
    </row>
    <row r="10" spans="1:19" ht="12.75" customHeight="1">
      <c r="B10" s="5"/>
      <c r="C10" s="5"/>
      <c r="D10" s="141"/>
      <c r="E10" s="141"/>
      <c r="F10" s="142" t="s">
        <v>10</v>
      </c>
      <c r="G10" s="142"/>
      <c r="H10" s="152" t="str">
        <f>+B5</f>
        <v>Julio</v>
      </c>
      <c r="I10" s="152"/>
      <c r="J10" s="142">
        <f>+AVERAGE(J7:K8)</f>
        <v>4780.5200000000004</v>
      </c>
      <c r="K10" s="142"/>
      <c r="P10" s="51"/>
      <c r="Q10" s="55"/>
      <c r="S10" s="109"/>
    </row>
    <row r="11" spans="1:19">
      <c r="B11" s="4"/>
    </row>
    <row r="12" spans="1:19" s="6" customFormat="1" ht="12.75" customHeight="1">
      <c r="B12" s="147" t="s">
        <v>11</v>
      </c>
      <c r="D12" s="149" t="s">
        <v>12</v>
      </c>
      <c r="E12" s="150"/>
      <c r="F12" s="150"/>
      <c r="G12" s="150"/>
      <c r="H12" s="151"/>
      <c r="I12" s="7"/>
      <c r="J12" s="149" t="s">
        <v>13</v>
      </c>
      <c r="K12" s="150"/>
      <c r="L12" s="150"/>
      <c r="M12" s="150"/>
      <c r="N12" s="151"/>
      <c r="O12" s="77"/>
      <c r="P12" s="75"/>
      <c r="Q12" s="1"/>
      <c r="R12" s="54"/>
    </row>
    <row r="13" spans="1:19" s="6" customFormat="1" ht="12.75" customHeight="1">
      <c r="B13" s="148"/>
      <c r="D13" s="8" t="s">
        <v>14</v>
      </c>
      <c r="F13" s="8" t="s">
        <v>15</v>
      </c>
      <c r="H13" s="8" t="s">
        <v>16</v>
      </c>
      <c r="J13" s="8" t="s">
        <v>14</v>
      </c>
      <c r="L13" s="8" t="s">
        <v>15</v>
      </c>
      <c r="N13" s="8" t="s">
        <v>16</v>
      </c>
      <c r="P13" s="77"/>
    </row>
    <row r="14" spans="1:19" ht="14.25" customHeight="1">
      <c r="B14" s="9" t="s">
        <v>17</v>
      </c>
      <c r="D14" s="84">
        <v>1184064.95</v>
      </c>
      <c r="E14" s="84"/>
      <c r="F14" s="84">
        <v>15400024.532000003</v>
      </c>
      <c r="G14" s="84"/>
      <c r="H14" s="84">
        <v>16584089.482000003</v>
      </c>
      <c r="I14" s="19"/>
      <c r="J14" s="125">
        <f>+D14/$J$8</f>
        <v>247.85855881503312</v>
      </c>
      <c r="K14" s="19"/>
      <c r="L14" s="125">
        <f>+F14/$J$8</f>
        <v>3223.6642814380039</v>
      </c>
      <c r="M14" s="19"/>
      <c r="N14" s="126">
        <f>+J14+L14</f>
        <v>3471.522840253037</v>
      </c>
      <c r="O14" s="1" t="s">
        <v>18</v>
      </c>
      <c r="P14" s="118"/>
    </row>
    <row r="15" spans="1:19" ht="14.25" customHeight="1">
      <c r="B15" s="11" t="s">
        <v>19</v>
      </c>
      <c r="D15" s="119">
        <v>-8966.59</v>
      </c>
      <c r="E15" s="53"/>
      <c r="F15" s="121">
        <v>-8629224.0759999994</v>
      </c>
      <c r="G15" s="19"/>
      <c r="H15" s="136">
        <v>-8638190.6649999991</v>
      </c>
      <c r="I15" s="10"/>
      <c r="J15" s="24">
        <f>+D15/$J$10</f>
        <v>-1.8756516027545118</v>
      </c>
      <c r="K15" s="37"/>
      <c r="L15" s="24">
        <f>+F15/$J$10</f>
        <v>-1805.0806347426637</v>
      </c>
      <c r="M15" s="37"/>
      <c r="N15" s="24">
        <f>+J15+L15</f>
        <v>-1806.9562863454182</v>
      </c>
      <c r="Q15" s="55"/>
    </row>
    <row r="16" spans="1:19" ht="14.25" customHeight="1">
      <c r="B16" s="11" t="s">
        <v>20</v>
      </c>
      <c r="D16" s="43"/>
      <c r="E16" s="42"/>
      <c r="F16" s="120">
        <v>6921815.8989999983</v>
      </c>
      <c r="G16" s="41"/>
      <c r="H16" s="124">
        <f>F16</f>
        <v>6921815.8989999983</v>
      </c>
      <c r="I16" s="10"/>
      <c r="J16" s="24">
        <f>+D16/$J$10</f>
        <v>0</v>
      </c>
      <c r="K16" s="37"/>
      <c r="L16" s="24">
        <f>+F16/$J$10</f>
        <v>1447.921125526093</v>
      </c>
      <c r="M16" s="37"/>
      <c r="N16" s="24">
        <f>+J16+L16</f>
        <v>1447.921125526093</v>
      </c>
      <c r="O16" s="1" t="s">
        <v>21</v>
      </c>
      <c r="P16" s="98">
        <v>8638190665</v>
      </c>
      <c r="Q16" s="127">
        <f>P16/1000</f>
        <v>8638190.6649999991</v>
      </c>
      <c r="R16" s="1" t="s">
        <v>22</v>
      </c>
      <c r="S16" s="55">
        <f>+D15+F15-H15</f>
        <v>-1.0000001639127731E-3</v>
      </c>
    </row>
    <row r="17" spans="2:20" ht="14.25" customHeight="1">
      <c r="B17" s="11" t="s">
        <v>23</v>
      </c>
      <c r="D17" s="123">
        <v>514402.598</v>
      </c>
      <c r="E17" s="122"/>
      <c r="F17" s="121">
        <f>-D17</f>
        <v>-514402.598</v>
      </c>
      <c r="G17" s="10"/>
      <c r="H17" s="12"/>
      <c r="I17" s="10"/>
      <c r="J17" s="24">
        <f>+D17/$J$7</f>
        <v>107.52877341728228</v>
      </c>
      <c r="K17" s="37"/>
      <c r="L17" s="24">
        <f>+F17/$J$7</f>
        <v>-107.52877341728228</v>
      </c>
      <c r="M17" s="37"/>
      <c r="N17" s="24">
        <f t="shared" ref="N17:N20" si="0">+J17+L17</f>
        <v>0</v>
      </c>
      <c r="P17" s="105">
        <v>1175098.361</v>
      </c>
      <c r="Q17" s="1" t="s">
        <v>24</v>
      </c>
      <c r="R17" s="53">
        <f>+D14-P17</f>
        <v>8966.5889999999199</v>
      </c>
      <c r="S17" s="1" t="s">
        <v>22</v>
      </c>
      <c r="T17" s="55"/>
    </row>
    <row r="18" spans="2:20" ht="14.25" customHeight="1">
      <c r="B18" s="11" t="s">
        <v>25</v>
      </c>
      <c r="D18" s="43"/>
      <c r="E18" s="42"/>
      <c r="F18" s="43"/>
      <c r="G18" s="10"/>
      <c r="H18" s="12">
        <f>SUM(D18:F18)</f>
        <v>0</v>
      </c>
      <c r="I18" s="10"/>
      <c r="J18" s="24">
        <f>+D18/$J$10</f>
        <v>0</v>
      </c>
      <c r="K18" s="37"/>
      <c r="L18" s="24">
        <f>+F18/$J$10</f>
        <v>0</v>
      </c>
      <c r="M18" s="37"/>
      <c r="N18" s="24">
        <f t="shared" si="0"/>
        <v>0</v>
      </c>
    </row>
    <row r="19" spans="2:20" ht="14.25" customHeight="1">
      <c r="B19" s="14" t="s">
        <v>26</v>
      </c>
      <c r="D19" s="13"/>
      <c r="E19" s="10"/>
      <c r="F19" s="13"/>
      <c r="G19" s="10"/>
      <c r="H19" s="12">
        <f>SUM(D19:F19)</f>
        <v>0</v>
      </c>
      <c r="I19" s="10"/>
      <c r="J19" s="24">
        <f>+D19/$J$10</f>
        <v>0</v>
      </c>
      <c r="K19" s="38"/>
      <c r="L19" s="24">
        <f>+F19/$J$10</f>
        <v>0</v>
      </c>
      <c r="M19" s="38"/>
      <c r="N19" s="24">
        <f t="shared" si="0"/>
        <v>0</v>
      </c>
      <c r="P19" s="106">
        <v>514402.598</v>
      </c>
      <c r="Q19" s="1" t="s">
        <v>27</v>
      </c>
      <c r="S19" s="113">
        <v>3565114.5560424002</v>
      </c>
      <c r="T19" s="55">
        <f>S19-D22</f>
        <v>1875613.5980424003</v>
      </c>
    </row>
    <row r="20" spans="2:20" ht="14.25" customHeight="1">
      <c r="B20" s="14" t="s">
        <v>28</v>
      </c>
      <c r="D20" s="16"/>
      <c r="E20" s="10"/>
      <c r="F20" s="16"/>
      <c r="G20" s="10"/>
      <c r="H20" s="16">
        <f>+D20+F20</f>
        <v>0</v>
      </c>
      <c r="I20" s="10"/>
      <c r="J20" s="24">
        <f>+J22-SUM(J14:J19)</f>
        <v>-0.34479071221380764</v>
      </c>
      <c r="K20" s="38"/>
      <c r="L20" s="24">
        <f>+L22-SUM(L14:L19)</f>
        <v>-4.2520401180681802</v>
      </c>
      <c r="M20" s="38"/>
      <c r="N20" s="24">
        <f t="shared" si="0"/>
        <v>-4.5968308302819878</v>
      </c>
    </row>
    <row r="21" spans="2:20" ht="14.25" customHeight="1">
      <c r="B21" s="11" t="s">
        <v>29</v>
      </c>
      <c r="D21" s="12">
        <f>SUM(D19:D20)</f>
        <v>0</v>
      </c>
      <c r="E21" s="10"/>
      <c r="F21" s="12">
        <f>SUM(F19:F20)</f>
        <v>0</v>
      </c>
      <c r="G21" s="10"/>
      <c r="H21" s="12">
        <f>SUM(H19:H20)</f>
        <v>0</v>
      </c>
      <c r="I21" s="10"/>
      <c r="J21" s="24">
        <f>SUM(J19:J20)</f>
        <v>-0.34479071221380764</v>
      </c>
      <c r="K21" s="37"/>
      <c r="L21" s="24">
        <f>SUM(L19:L20)</f>
        <v>-4.2520401180681802</v>
      </c>
      <c r="M21" s="37"/>
      <c r="N21" s="24">
        <f>SUM(N19:N20)</f>
        <v>-4.5968308302819878</v>
      </c>
      <c r="O21" s="1" t="s">
        <v>30</v>
      </c>
      <c r="R21" s="1" t="s">
        <v>31</v>
      </c>
    </row>
    <row r="22" spans="2:20" ht="14.25" customHeight="1">
      <c r="B22" s="17" t="s">
        <v>32</v>
      </c>
      <c r="D22" s="18">
        <f>SUM(D14:D17)</f>
        <v>1689500.9579999999</v>
      </c>
      <c r="E22" s="19"/>
      <c r="F22" s="18">
        <f>SUM(F14:F18)</f>
        <v>13178213.757000003</v>
      </c>
      <c r="G22" s="85"/>
      <c r="H22" s="18">
        <f>SUM(H14:H18,H21)</f>
        <v>14867714.716000002</v>
      </c>
      <c r="I22" s="10"/>
      <c r="J22" s="39">
        <f>+D22/$J$7</f>
        <v>353.16688991734708</v>
      </c>
      <c r="K22" s="37"/>
      <c r="L22" s="39">
        <f>+F22/$J$7</f>
        <v>2754.7239586860828</v>
      </c>
      <c r="M22" s="37"/>
      <c r="N22" s="18">
        <f>SUM(N14:N18,N21)</f>
        <v>3107.8908486034297</v>
      </c>
      <c r="O22" s="52">
        <v>3107.3523700000014</v>
      </c>
      <c r="P22" s="50">
        <v>14867714.716000002</v>
      </c>
      <c r="Q22" s="1" t="s">
        <v>33</v>
      </c>
      <c r="R22" s="120">
        <f>+P22-H22</f>
        <v>0</v>
      </c>
      <c r="S22" s="1" t="s">
        <v>34</v>
      </c>
    </row>
    <row r="23" spans="2:20" ht="14.25" customHeight="1">
      <c r="B23" s="11" t="s">
        <v>35</v>
      </c>
      <c r="D23" s="58">
        <v>-657595.402</v>
      </c>
      <c r="E23" s="59"/>
      <c r="F23" s="60">
        <v>0</v>
      </c>
      <c r="G23" s="59"/>
      <c r="H23" s="58">
        <v>-657595.40200000012</v>
      </c>
      <c r="I23" s="10"/>
      <c r="J23" s="24">
        <f>+D23/$J$8</f>
        <v>-137.65346962015246</v>
      </c>
      <c r="K23" s="37"/>
      <c r="L23" s="24">
        <f>+F23/$J$8</f>
        <v>0</v>
      </c>
      <c r="M23" s="37"/>
      <c r="N23" s="47">
        <f>+J23+L23</f>
        <v>-137.65346962015246</v>
      </c>
      <c r="O23" s="55">
        <f>+N22-O22</f>
        <v>0.53847860342830245</v>
      </c>
      <c r="P23" s="55"/>
    </row>
    <row r="24" spans="2:20" ht="14.25" customHeight="1">
      <c r="B24" s="11" t="s">
        <v>36</v>
      </c>
      <c r="D24" s="23">
        <v>-12309.650000000023</v>
      </c>
      <c r="E24" s="10"/>
      <c r="F24" s="13"/>
      <c r="G24" s="10"/>
      <c r="H24" s="22">
        <f>D24</f>
        <v>-12309.650000000023</v>
      </c>
      <c r="I24" s="10"/>
      <c r="J24" s="24">
        <f>+D24/$J$10</f>
        <v>-2.5749604645519781</v>
      </c>
      <c r="K24" s="37"/>
      <c r="L24" s="24">
        <f>+F24/$J$10</f>
        <v>0</v>
      </c>
      <c r="M24" s="37"/>
      <c r="N24" s="24">
        <f>+J24+L24</f>
        <v>-2.5749604645519781</v>
      </c>
      <c r="O24" s="55"/>
      <c r="P24" s="55"/>
      <c r="R24" s="1">
        <v>13178213.7572583</v>
      </c>
      <c r="S24" s="55">
        <f>+R24-F22</f>
        <v>2.5829672813415527E-4</v>
      </c>
    </row>
    <row r="25" spans="2:20" ht="14.25" customHeight="1">
      <c r="B25" s="11" t="s">
        <v>37</v>
      </c>
      <c r="D25" s="21"/>
      <c r="E25" s="10"/>
      <c r="F25" s="13"/>
      <c r="G25" s="10"/>
      <c r="H25" s="22">
        <f>+D25+F25</f>
        <v>0</v>
      </c>
      <c r="I25" s="10"/>
      <c r="J25" s="24">
        <f>+D25/$J$10</f>
        <v>0</v>
      </c>
      <c r="K25" s="37"/>
      <c r="L25" s="24">
        <f>+F25/$J$10</f>
        <v>0</v>
      </c>
      <c r="M25" s="37"/>
      <c r="N25" s="24">
        <f>+J25+L25</f>
        <v>0</v>
      </c>
    </row>
    <row r="26" spans="2:20" ht="14.25" customHeight="1">
      <c r="B26" s="14" t="s">
        <v>26</v>
      </c>
      <c r="D26" s="13"/>
      <c r="E26" s="10"/>
      <c r="F26" s="13"/>
      <c r="G26" s="10"/>
      <c r="H26" s="12">
        <f>+D26+F26</f>
        <v>0</v>
      </c>
      <c r="I26" s="15"/>
      <c r="J26" s="24">
        <f>+D26/$J$10</f>
        <v>0</v>
      </c>
      <c r="K26" s="38"/>
      <c r="L26" s="24">
        <f>+F26/$J$10</f>
        <v>0</v>
      </c>
      <c r="M26" s="38"/>
      <c r="N26" s="24">
        <f>+J26+L26</f>
        <v>0</v>
      </c>
      <c r="O26" s="55"/>
    </row>
    <row r="27" spans="2:20" ht="14.25" customHeight="1">
      <c r="B27" s="14" t="s">
        <v>28</v>
      </c>
      <c r="D27" s="16"/>
      <c r="E27" s="10"/>
      <c r="F27" s="16"/>
      <c r="G27" s="10"/>
      <c r="H27" s="25">
        <f>+D27+F27</f>
        <v>0</v>
      </c>
      <c r="I27" s="15"/>
      <c r="J27" s="24">
        <f>+J29-SUM(J23:J26)</f>
        <v>0.19401185340166194</v>
      </c>
      <c r="K27" s="38"/>
      <c r="L27" s="24">
        <f>+L29-SUM(L23:L26)</f>
        <v>0</v>
      </c>
      <c r="M27" s="38"/>
      <c r="N27" s="24">
        <f>+J27+L27</f>
        <v>0.19401185340166194</v>
      </c>
      <c r="O27" s="55">
        <f>O26*1000</f>
        <v>0</v>
      </c>
      <c r="P27" s="90">
        <v>-669905.05200000003</v>
      </c>
      <c r="Q27" s="1" t="s">
        <v>38</v>
      </c>
      <c r="R27" s="72">
        <f>+H29-P27</f>
        <v>0</v>
      </c>
      <c r="S27" s="55"/>
    </row>
    <row r="28" spans="2:20" ht="14.25" customHeight="1">
      <c r="B28" s="11" t="s">
        <v>29</v>
      </c>
      <c r="D28" s="12">
        <f>SUM(D26:D27)</f>
        <v>0</v>
      </c>
      <c r="E28" s="10"/>
      <c r="F28" s="12">
        <f>SUM(F26:F27)</f>
        <v>0</v>
      </c>
      <c r="G28" s="10"/>
      <c r="H28" s="12">
        <f>SUM(H26:H27)</f>
        <v>0</v>
      </c>
      <c r="I28" s="10"/>
      <c r="J28" s="24">
        <f>SUM(J26:J27)</f>
        <v>0.19401185340166194</v>
      </c>
      <c r="K28" s="37"/>
      <c r="L28" s="24">
        <f>SUM(L26:L27)</f>
        <v>0</v>
      </c>
      <c r="M28" s="37"/>
      <c r="N28" s="24">
        <f>SUM(N26:N27)</f>
        <v>0.19401185340166194</v>
      </c>
      <c r="O28" s="1" t="s">
        <v>39</v>
      </c>
      <c r="P28" s="57">
        <f>+P27-D23</f>
        <v>-12309.650000000023</v>
      </c>
      <c r="Q28" s="52"/>
      <c r="R28" s="73"/>
    </row>
    <row r="29" spans="2:20" ht="14.25" customHeight="1">
      <c r="B29" s="26" t="s">
        <v>40</v>
      </c>
      <c r="D29" s="18">
        <f>SUM(D23:D25,D28)</f>
        <v>-669905.05200000003</v>
      </c>
      <c r="E29" s="10"/>
      <c r="F29" s="20">
        <f>SUM(F23:F25,F28)</f>
        <v>0</v>
      </c>
      <c r="G29" s="10"/>
      <c r="H29" s="18">
        <f>SUM(H23:H25,H28)</f>
        <v>-669905.05200000014</v>
      </c>
      <c r="I29" s="10"/>
      <c r="J29" s="40">
        <f>+D29/$J$7</f>
        <v>-140.03441823130277</v>
      </c>
      <c r="K29" s="37"/>
      <c r="L29" s="39">
        <f>+F29/$J$7</f>
        <v>0</v>
      </c>
      <c r="M29" s="37"/>
      <c r="N29" s="40">
        <f>SUM(N23:N25,N28)</f>
        <v>-140.03441823130277</v>
      </c>
      <c r="O29" s="102">
        <v>-140.01016999999996</v>
      </c>
      <c r="P29" s="1">
        <v>39598</v>
      </c>
      <c r="Q29" s="55"/>
    </row>
    <row r="30" spans="2:20" ht="17.25" customHeight="1">
      <c r="B30" s="27" t="s">
        <v>41</v>
      </c>
      <c r="D30" s="28">
        <f>+D22+D29</f>
        <v>1019595.9059999998</v>
      </c>
      <c r="E30" s="10"/>
      <c r="F30" s="29">
        <f>+F22+F29</f>
        <v>13178213.757000003</v>
      </c>
      <c r="G30" s="10"/>
      <c r="H30" s="29">
        <f>+H22+H29</f>
        <v>14197809.664000001</v>
      </c>
      <c r="I30" s="10"/>
      <c r="J30" s="30">
        <f>+J22+J29</f>
        <v>213.13247168604431</v>
      </c>
      <c r="K30" s="10"/>
      <c r="L30" s="30">
        <f>+L22+L29</f>
        <v>2754.7239586860828</v>
      </c>
      <c r="M30" s="10"/>
      <c r="N30" s="48">
        <f>+N22+N29</f>
        <v>2967.8564303721269</v>
      </c>
      <c r="O30" s="45">
        <f>+O29-N29</f>
        <v>2.4248231302806289E-2</v>
      </c>
      <c r="P30" s="51">
        <f>P28-P29</f>
        <v>-51907.650000000023</v>
      </c>
      <c r="Q30" s="51"/>
      <c r="R30" s="45"/>
    </row>
    <row r="31" spans="2:20" ht="13.5" customHeight="1">
      <c r="B31" s="31"/>
      <c r="D31" s="32"/>
      <c r="F31" s="32"/>
      <c r="P31" s="51"/>
    </row>
    <row r="32" spans="2:20" ht="13.5" customHeight="1">
      <c r="P32" s="51">
        <f>+D29-P27</f>
        <v>0</v>
      </c>
      <c r="R32" s="55"/>
    </row>
    <row r="33" spans="2:18" s="6" customFormat="1" ht="12.75" customHeight="1">
      <c r="B33" s="147" t="s">
        <v>42</v>
      </c>
      <c r="D33" s="149" t="s">
        <v>12</v>
      </c>
      <c r="E33" s="150"/>
      <c r="F33" s="150"/>
      <c r="G33" s="150"/>
      <c r="H33" s="151"/>
      <c r="I33" s="7"/>
      <c r="J33" s="149" t="s">
        <v>13</v>
      </c>
      <c r="K33" s="150"/>
      <c r="L33" s="150"/>
      <c r="M33" s="150"/>
      <c r="N33" s="151"/>
      <c r="P33" s="75"/>
    </row>
    <row r="34" spans="2:18" s="6" customFormat="1" ht="12.75" customHeight="1">
      <c r="B34" s="148"/>
      <c r="D34" s="8" t="s">
        <v>14</v>
      </c>
      <c r="F34" s="8" t="s">
        <v>15</v>
      </c>
      <c r="H34" s="8" t="s">
        <v>16</v>
      </c>
      <c r="J34" s="8" t="s">
        <v>14</v>
      </c>
      <c r="L34" s="8" t="s">
        <v>15</v>
      </c>
      <c r="N34" s="8" t="s">
        <v>16</v>
      </c>
      <c r="P34" s="54"/>
    </row>
    <row r="35" spans="2:18" ht="14.25" customHeight="1">
      <c r="B35" s="63" t="s">
        <v>43</v>
      </c>
      <c r="D35" s="62">
        <v>1650164.4838900007</v>
      </c>
      <c r="E35" s="62"/>
      <c r="F35" s="62">
        <v>15186363.850959415</v>
      </c>
      <c r="G35" s="19"/>
      <c r="H35" s="62">
        <v>16836527.620000005</v>
      </c>
      <c r="I35" s="10"/>
      <c r="J35" s="64">
        <f>+D35/$J$9</f>
        <v>361.42876815231955</v>
      </c>
      <c r="K35" s="10"/>
      <c r="L35" s="64">
        <f>+F35/$J$9</f>
        <v>3326.2070738707384</v>
      </c>
      <c r="M35" s="10"/>
      <c r="N35" s="49">
        <f>+J35+L35</f>
        <v>3687.6358420230581</v>
      </c>
    </row>
    <row r="36" spans="2:18" ht="14.25" customHeight="1">
      <c r="B36" s="11" t="s">
        <v>44</v>
      </c>
      <c r="D36" s="33">
        <v>-3283230.2386715012</v>
      </c>
      <c r="E36" s="65" t="e">
        <v>#REF!</v>
      </c>
      <c r="F36" s="34">
        <v>-45399266.615328498</v>
      </c>
      <c r="G36" s="65"/>
      <c r="H36" s="34">
        <f>(D36+F36)+0.709999995306134</f>
        <v>-48682496.144000009</v>
      </c>
      <c r="I36" s="10"/>
      <c r="J36" s="12">
        <f>+D36/$J$7</f>
        <v>-686.31403065129439</v>
      </c>
      <c r="K36" s="10"/>
      <c r="L36" s="12">
        <f>+F36/$J$7</f>
        <v>-9490.0909757661175</v>
      </c>
      <c r="M36" s="10"/>
      <c r="N36" s="22">
        <f t="shared" ref="N36:N41" si="1">+J36+L36</f>
        <v>-10176.405006417412</v>
      </c>
    </row>
    <row r="37" spans="2:18" ht="14.25" customHeight="1">
      <c r="B37" s="11" t="s">
        <v>45</v>
      </c>
      <c r="D37" s="12">
        <v>0</v>
      </c>
      <c r="E37" s="15">
        <v>0</v>
      </c>
      <c r="F37" s="66">
        <v>46713683.239</v>
      </c>
      <c r="G37" s="66"/>
      <c r="H37" s="66">
        <f>F37</f>
        <v>46713683.239</v>
      </c>
      <c r="I37" s="10"/>
      <c r="J37" s="12">
        <f>+D37/$J$7</f>
        <v>0</v>
      </c>
      <c r="K37" s="10"/>
      <c r="L37" s="12">
        <f>+F37/$J$7</f>
        <v>9764.8516551487719</v>
      </c>
      <c r="M37" s="10"/>
      <c r="N37" s="22">
        <f t="shared" si="1"/>
        <v>9764.8516551487719</v>
      </c>
      <c r="P37" s="78"/>
      <c r="Q37"/>
      <c r="R37"/>
    </row>
    <row r="38" spans="2:18" ht="14.25" customHeight="1">
      <c r="B38" s="11" t="s">
        <v>46</v>
      </c>
      <c r="D38" s="35">
        <v>3322566.7152966997</v>
      </c>
      <c r="E38" s="66">
        <v>-975358.72</v>
      </c>
      <c r="F38" s="35">
        <v>-3322566.7152966997</v>
      </c>
      <c r="G38" s="15"/>
      <c r="H38" s="12"/>
      <c r="I38" s="10"/>
      <c r="J38" s="12">
        <f>+D38/$J$7</f>
        <v>694.53677893932934</v>
      </c>
      <c r="K38" s="10"/>
      <c r="L38" s="12">
        <f>+F38/$J$7</f>
        <v>-694.53677893932934</v>
      </c>
      <c r="M38" s="10"/>
      <c r="N38" s="22">
        <f t="shared" si="1"/>
        <v>0</v>
      </c>
      <c r="P38" s="78"/>
      <c r="Q38"/>
      <c r="R38"/>
    </row>
    <row r="39" spans="2:18" ht="14.25" customHeight="1" thickBot="1">
      <c r="B39" s="11" t="s">
        <v>25</v>
      </c>
      <c r="D39" s="13"/>
      <c r="E39" s="10"/>
      <c r="F39" s="13"/>
      <c r="G39" s="10"/>
      <c r="H39" s="12">
        <v>0</v>
      </c>
      <c r="I39" s="10"/>
      <c r="J39" s="12">
        <f>+D39/$J$7</f>
        <v>0</v>
      </c>
      <c r="K39" s="10"/>
      <c r="L39" s="12">
        <f>+F39/$J$7</f>
        <v>0</v>
      </c>
      <c r="M39" s="10"/>
      <c r="N39" s="22">
        <f t="shared" si="1"/>
        <v>0</v>
      </c>
      <c r="P39" s="78"/>
      <c r="Q39"/>
      <c r="R39"/>
    </row>
    <row r="40" spans="2:18" ht="14.25" customHeight="1" thickBot="1">
      <c r="B40" s="14" t="s">
        <v>26</v>
      </c>
      <c r="D40" s="13"/>
      <c r="E40" s="10"/>
      <c r="F40" s="13"/>
      <c r="G40" s="10"/>
      <c r="H40" s="12">
        <v>0</v>
      </c>
      <c r="I40" s="10"/>
      <c r="J40" s="12">
        <f>+D40/$J$7</f>
        <v>0</v>
      </c>
      <c r="K40" s="15"/>
      <c r="L40" s="12">
        <f>+F40/$J$7</f>
        <v>0</v>
      </c>
      <c r="M40" s="15"/>
      <c r="N40" s="22">
        <f t="shared" si="1"/>
        <v>0</v>
      </c>
      <c r="P40" s="86" t="s">
        <v>47</v>
      </c>
      <c r="Q40" s="87"/>
      <c r="R40" s="94">
        <f>+R42/Q42</f>
        <v>1.1445489976529359</v>
      </c>
    </row>
    <row r="41" spans="2:18" ht="14.25" customHeight="1" thickBot="1">
      <c r="B41" s="14" t="s">
        <v>28</v>
      </c>
      <c r="D41" s="16"/>
      <c r="E41" s="10"/>
      <c r="F41" s="16"/>
      <c r="G41" s="10"/>
      <c r="H41" s="25">
        <f>+D41+F41</f>
        <v>0</v>
      </c>
      <c r="I41" s="10"/>
      <c r="J41" s="12">
        <f>+J43-SUM(J35:J40)</f>
        <v>-16.484625997239675</v>
      </c>
      <c r="K41" s="15"/>
      <c r="L41" s="12">
        <f>+L43-SUM(L35:L40)</f>
        <v>-151.70701514004622</v>
      </c>
      <c r="M41" s="15"/>
      <c r="N41" s="22">
        <f t="shared" si="1"/>
        <v>-168.1916411372859</v>
      </c>
      <c r="P41" s="95" t="s">
        <v>48</v>
      </c>
      <c r="Q41" s="96" t="s">
        <v>49</v>
      </c>
      <c r="R41" s="97" t="s">
        <v>50</v>
      </c>
    </row>
    <row r="42" spans="2:18" ht="14.25" customHeight="1">
      <c r="B42" s="11" t="s">
        <v>29</v>
      </c>
      <c r="D42" s="12">
        <f>SUM(D40:D41)</f>
        <v>0</v>
      </c>
      <c r="E42" s="10"/>
      <c r="F42" s="12">
        <f>SUM(F40:F41)</f>
        <v>0</v>
      </c>
      <c r="G42" s="10"/>
      <c r="H42" s="12">
        <f>SUM(H40:H41)</f>
        <v>0</v>
      </c>
      <c r="I42" s="10"/>
      <c r="J42" s="12">
        <f>SUM(J40:J41)</f>
        <v>-16.484625997239675</v>
      </c>
      <c r="K42" s="10"/>
      <c r="L42" s="12">
        <f>SUM(L40:L41)</f>
        <v>-151.70701514004622</v>
      </c>
      <c r="M42" s="10"/>
      <c r="N42" s="22">
        <f>SUM(N40:N41)</f>
        <v>-168.1916411372859</v>
      </c>
      <c r="P42" s="129" t="s">
        <v>51</v>
      </c>
      <c r="Q42" s="99">
        <v>4179.6899999999996</v>
      </c>
      <c r="R42" s="107">
        <v>4783.8599999999997</v>
      </c>
    </row>
    <row r="43" spans="2:18" ht="14.25" customHeight="1">
      <c r="B43" s="17" t="s">
        <v>32</v>
      </c>
      <c r="D43" s="18">
        <f>SUM(D35:D39,D42)</f>
        <v>1689500.9605151992</v>
      </c>
      <c r="E43" s="19"/>
      <c r="F43" s="18">
        <f>SUM(F35:F39,F42)</f>
        <v>13178213.759334214</v>
      </c>
      <c r="G43" s="19"/>
      <c r="H43" s="18">
        <f>SUM(H35:H39,H42)</f>
        <v>14867714.714999996</v>
      </c>
      <c r="I43" s="10"/>
      <c r="J43" s="20">
        <f>+D43/$J$7</f>
        <v>353.16689044311482</v>
      </c>
      <c r="K43" s="10"/>
      <c r="L43" s="20">
        <f>+F43/$J$7</f>
        <v>2754.7239591740176</v>
      </c>
      <c r="M43" s="10"/>
      <c r="N43" s="36">
        <f>SUM(N35:N39,N42)</f>
        <v>3107.8908496171325</v>
      </c>
      <c r="P43" s="78"/>
      <c r="Q43"/>
      <c r="R43"/>
    </row>
    <row r="44" spans="2:18" ht="14.25" customHeight="1">
      <c r="B44" s="11" t="s">
        <v>35</v>
      </c>
      <c r="D44" s="21">
        <v>-587752.05699999933</v>
      </c>
      <c r="E44" s="10"/>
      <c r="F44" s="13">
        <v>0</v>
      </c>
      <c r="G44" s="10"/>
      <c r="H44" s="21">
        <v>-587752.05699999945</v>
      </c>
      <c r="I44" s="10"/>
      <c r="J44" s="12">
        <f>+D44/$J$9</f>
        <v>-128.73292572612547</v>
      </c>
      <c r="K44" s="10"/>
      <c r="L44" s="12">
        <f>+F44/$J$9</f>
        <v>0</v>
      </c>
      <c r="M44" s="10"/>
      <c r="N44" s="22">
        <f>+J44+L44</f>
        <v>-128.73292572612547</v>
      </c>
    </row>
    <row r="45" spans="2:18" ht="14.25" customHeight="1">
      <c r="B45" s="11" t="s">
        <v>52</v>
      </c>
      <c r="D45" s="24">
        <v>-99366.484000000681</v>
      </c>
      <c r="E45" s="10">
        <v>0</v>
      </c>
      <c r="F45" s="13">
        <v>0</v>
      </c>
      <c r="G45" s="10"/>
      <c r="H45" s="71">
        <f>D45</f>
        <v>-99366.484000000681</v>
      </c>
      <c r="I45" s="10"/>
      <c r="J45" s="12">
        <f>+D45/$J$7</f>
        <v>-20.771193973067916</v>
      </c>
      <c r="K45" s="10"/>
      <c r="L45" s="12">
        <f>+F45/$J$7</f>
        <v>0</v>
      </c>
      <c r="M45" s="10"/>
      <c r="N45" s="22">
        <f>+J45+L45</f>
        <v>-20.771193973067916</v>
      </c>
    </row>
    <row r="46" spans="2:18" ht="14.25" customHeight="1">
      <c r="B46" s="11" t="s">
        <v>37</v>
      </c>
      <c r="D46" s="21">
        <v>17213.488999999943</v>
      </c>
      <c r="E46" s="10">
        <v>0</v>
      </c>
      <c r="F46" s="13">
        <v>0</v>
      </c>
      <c r="G46" s="10"/>
      <c r="H46" s="22">
        <f>+D46+F46</f>
        <v>17213.488999999943</v>
      </c>
      <c r="I46" s="10"/>
      <c r="J46" s="12">
        <f>+D46/$J$7</f>
        <v>3.5982426325184984</v>
      </c>
      <c r="K46" s="10"/>
      <c r="L46" s="12">
        <f>+F46/$J$7</f>
        <v>0</v>
      </c>
      <c r="M46" s="10"/>
      <c r="N46" s="22">
        <f>+J46+L46</f>
        <v>3.5982426325184984</v>
      </c>
    </row>
    <row r="47" spans="2:18" ht="14.25" customHeight="1">
      <c r="B47" s="14" t="s">
        <v>26</v>
      </c>
      <c r="D47" s="13"/>
      <c r="E47" s="10"/>
      <c r="F47" s="13"/>
      <c r="G47" s="10"/>
      <c r="H47" s="12">
        <f>+D47+F47</f>
        <v>0</v>
      </c>
      <c r="I47" s="10"/>
      <c r="J47" s="12">
        <f>+D47/$J$7</f>
        <v>0</v>
      </c>
      <c r="K47" s="15"/>
      <c r="L47" s="12">
        <f>+F47/$J$7</f>
        <v>0</v>
      </c>
      <c r="M47" s="15"/>
      <c r="N47" s="22">
        <f>+J47+L47</f>
        <v>0</v>
      </c>
    </row>
    <row r="48" spans="2:18" ht="14.25" customHeight="1">
      <c r="B48" s="14" t="s">
        <v>28</v>
      </c>
      <c r="D48" s="16"/>
      <c r="E48" s="10"/>
      <c r="F48" s="16"/>
      <c r="G48" s="10"/>
      <c r="H48" s="25">
        <f>+D48+F48</f>
        <v>0</v>
      </c>
      <c r="I48" s="10"/>
      <c r="J48" s="12">
        <f>+J50-SUM(J44:J47)</f>
        <v>5.871458835372124</v>
      </c>
      <c r="K48" s="15"/>
      <c r="L48" s="12">
        <f>+L50-SUM(L44:L47)</f>
        <v>0</v>
      </c>
      <c r="M48" s="15"/>
      <c r="N48" s="22">
        <f>+J48+L48</f>
        <v>5.871458835372124</v>
      </c>
    </row>
    <row r="49" spans="2:14" ht="14.25" customHeight="1">
      <c r="B49" s="11" t="s">
        <v>29</v>
      </c>
      <c r="D49" s="12">
        <f>SUM(D47:D48)</f>
        <v>0</v>
      </c>
      <c r="E49" s="10"/>
      <c r="F49" s="12">
        <f>SUM(F47:F48)</f>
        <v>0</v>
      </c>
      <c r="G49" s="10"/>
      <c r="H49" s="12">
        <f>SUM(H47:H48)</f>
        <v>0</v>
      </c>
      <c r="I49" s="10"/>
      <c r="J49" s="12">
        <f>SUM(J47:J48)</f>
        <v>5.871458835372124</v>
      </c>
      <c r="K49" s="10"/>
      <c r="L49" s="12">
        <f>SUM(L47:L48)</f>
        <v>0</v>
      </c>
      <c r="M49" s="10"/>
      <c r="N49" s="22">
        <f>SUM(N47:N48)</f>
        <v>5.871458835372124</v>
      </c>
    </row>
    <row r="50" spans="2:14" ht="14.25" customHeight="1">
      <c r="B50" s="26" t="s">
        <v>40</v>
      </c>
      <c r="D50" s="18">
        <f>SUM(D44:D46,D49)</f>
        <v>-669905.05200000003</v>
      </c>
      <c r="E50" s="10"/>
      <c r="F50" s="20">
        <f>SUM(F44:F46,F49)</f>
        <v>0</v>
      </c>
      <c r="G50" s="10"/>
      <c r="H50" s="36">
        <f>SUM(H44:H46,H49)</f>
        <v>-669905.05200000014</v>
      </c>
      <c r="I50" s="10"/>
      <c r="J50" s="39">
        <f>+D50/$J$7</f>
        <v>-140.03441823130277</v>
      </c>
      <c r="K50" s="10"/>
      <c r="L50" s="20">
        <f>+F50/$J$7</f>
        <v>0</v>
      </c>
      <c r="M50" s="10"/>
      <c r="N50" s="67">
        <f>SUM(N44:N46,N49)</f>
        <v>-140.03441823130277</v>
      </c>
    </row>
    <row r="51" spans="2:14" ht="14.25" customHeight="1">
      <c r="B51" s="27" t="s">
        <v>41</v>
      </c>
      <c r="D51" s="61">
        <f>+D43+D50</f>
        <v>1019595.9085151992</v>
      </c>
      <c r="E51" s="10"/>
      <c r="F51" s="69">
        <f>+F43+F50</f>
        <v>13178213.759334214</v>
      </c>
      <c r="G51" s="10"/>
      <c r="H51" s="68">
        <f>+H43+H50</f>
        <v>14197809.662999995</v>
      </c>
      <c r="I51" s="10"/>
      <c r="J51" s="68">
        <f>+J43+J50</f>
        <v>213.13247221181206</v>
      </c>
      <c r="K51" s="10"/>
      <c r="L51" s="68">
        <f>+L43+L50</f>
        <v>2754.7239591740176</v>
      </c>
      <c r="M51" s="10"/>
      <c r="N51" s="70">
        <f>+N43+N50</f>
        <v>2967.8564313858296</v>
      </c>
    </row>
    <row r="52" spans="2:14">
      <c r="D52" s="32">
        <f>D30-D51</f>
        <v>-2.5151993613690138E-3</v>
      </c>
      <c r="E52" s="32">
        <f t="shared" ref="E52:G52" si="2">E30-E51</f>
        <v>0</v>
      </c>
      <c r="F52" s="32">
        <f t="shared" si="2"/>
        <v>-2.3342110216617584E-3</v>
      </c>
      <c r="G52" s="32">
        <f t="shared" si="2"/>
        <v>0</v>
      </c>
      <c r="H52" s="51">
        <f>H30-H51</f>
        <v>1.0000057518482208E-3</v>
      </c>
    </row>
    <row r="63373" spans="2:2">
      <c r="B63373" s="1" t="s">
        <v>53</v>
      </c>
    </row>
    <row r="63374" spans="2:2">
      <c r="B63374" s="1" t="s">
        <v>54</v>
      </c>
    </row>
    <row r="63375" spans="2:2">
      <c r="B63375" s="1" t="s">
        <v>55</v>
      </c>
    </row>
    <row r="63376" spans="2:2">
      <c r="B63376" s="1" t="s">
        <v>56</v>
      </c>
    </row>
    <row r="63377" spans="2:2">
      <c r="B63377" s="1" t="s">
        <v>57</v>
      </c>
    </row>
    <row r="63378" spans="2:2">
      <c r="B63378" s="1" t="s">
        <v>58</v>
      </c>
    </row>
    <row r="63379" spans="2:2">
      <c r="B63379" s="1" t="s">
        <v>4</v>
      </c>
    </row>
    <row r="63380" spans="2:2">
      <c r="B63380" s="1" t="s">
        <v>59</v>
      </c>
    </row>
    <row r="63381" spans="2:2">
      <c r="B63381" s="1" t="s">
        <v>60</v>
      </c>
    </row>
    <row r="63382" spans="2:2">
      <c r="B63382" s="1" t="s">
        <v>61</v>
      </c>
    </row>
    <row r="63383" spans="2:2">
      <c r="B63383" s="1" t="s">
        <v>62</v>
      </c>
    </row>
    <row r="63384" spans="2:2">
      <c r="B63384" s="1" t="s">
        <v>63</v>
      </c>
    </row>
  </sheetData>
  <mergeCells count="19">
    <mergeCell ref="B33:B34"/>
    <mergeCell ref="D33:H33"/>
    <mergeCell ref="J33:N33"/>
    <mergeCell ref="F10:G10"/>
    <mergeCell ref="H10:I10"/>
    <mergeCell ref="J10:K10"/>
    <mergeCell ref="B12:B13"/>
    <mergeCell ref="D12:H12"/>
    <mergeCell ref="J12:N12"/>
    <mergeCell ref="B2:N2"/>
    <mergeCell ref="B4:H4"/>
    <mergeCell ref="D7:E10"/>
    <mergeCell ref="F7:G9"/>
    <mergeCell ref="H7:I7"/>
    <mergeCell ref="J7:K7"/>
    <mergeCell ref="H8:I8"/>
    <mergeCell ref="J8:K8"/>
    <mergeCell ref="H9:I9"/>
    <mergeCell ref="J9:K9"/>
  </mergeCells>
  <dataValidations count="4">
    <dataValidation type="list" allowBlank="1" showInputMessage="1" showErrorMessage="1" sqref="ELS64225 WQI981729 WGM981729 VWQ981729 VMU981729 VCY981729 UTC981729 UJG981729 TZK981729 TPO981729 TFS981729 SVW981729 SMA981729 SCE981729 RSI981729 RIM981729 QYQ981729 QOU981729 QEY981729 PVC981729 PLG981729 PBK981729 ORO981729 OHS981729 NXW981729 NOA981729 NEE981729 MUI981729 MKM981729 MAQ981729 LQU981729 LGY981729 KXC981729 KNG981729 KDK981729 JTO981729 JJS981729 IZW981729 IQA981729 IGE981729 HWI981729 HMM981729 HCQ981729 GSU981729 GIY981729 FZC981729 FPG981729 FFK981729 EVO981729 ELS981729 EBW981729 DSA981729 DIE981729 CYI981729 COM981729 CEQ981729 BUU981729 BKY981729 BBC981729 ARG981729 AHK981729 XO981729 NS981729 DW981729 EBW64225 WQI916193 WGM916193 VWQ916193 VMU916193 VCY916193 UTC916193 UJG916193 TZK916193 TPO916193 TFS916193 SVW916193 SMA916193 SCE916193 RSI916193 RIM916193 QYQ916193 QOU916193 QEY916193 PVC916193 PLG916193 PBK916193 ORO916193 OHS916193 NXW916193 NOA916193 NEE916193 MUI916193 MKM916193 MAQ916193 LQU916193 LGY916193 KXC916193 KNG916193 KDK916193 JTO916193 JJS916193 IZW916193 IQA916193 IGE916193 HWI916193 HMM916193 HCQ916193 GSU916193 GIY916193 FZC916193 FPG916193 FFK916193 EVO916193 ELS916193 EBW916193 DSA916193 DIE916193 CYI916193 COM916193 CEQ916193 BUU916193 BKY916193 BBC916193 ARG916193 AHK916193 XO916193 NS916193 DW916193 DSA64225 WQI850657 WGM850657 VWQ850657 VMU850657 VCY850657 UTC850657 UJG850657 TZK850657 TPO850657 TFS850657 SVW850657 SMA850657 SCE850657 RSI850657 RIM850657 QYQ850657 QOU850657 QEY850657 PVC850657 PLG850657 PBK850657 ORO850657 OHS850657 NXW850657 NOA850657 NEE850657 MUI850657 MKM850657 MAQ850657 LQU850657 LGY850657 KXC850657 KNG850657 KDK850657 JTO850657 JJS850657 IZW850657 IQA850657 IGE850657 HWI850657 HMM850657 HCQ850657 GSU850657 GIY850657 FZC850657 FPG850657 FFK850657 EVO850657 ELS850657 EBW850657 DSA850657 DIE850657 CYI850657 COM850657 CEQ850657 BUU850657 BKY850657 BBC850657 ARG850657 AHK850657 XO850657 NS850657 DW850657 DIE64225 WQI785121 WGM785121 VWQ785121 VMU785121 VCY785121 UTC785121 UJG785121 TZK785121 TPO785121 TFS785121 SVW785121 SMA785121 SCE785121 RSI785121 RIM785121 QYQ785121 QOU785121 QEY785121 PVC785121 PLG785121 PBK785121 ORO785121 OHS785121 NXW785121 NOA785121 NEE785121 MUI785121 MKM785121 MAQ785121 LQU785121 LGY785121 KXC785121 KNG785121 KDK785121 JTO785121 JJS785121 IZW785121 IQA785121 IGE785121 HWI785121 HMM785121 HCQ785121 GSU785121 GIY785121 FZC785121 FPG785121 FFK785121 EVO785121 ELS785121 EBW785121 DSA785121 DIE785121 CYI785121 COM785121 CEQ785121 BUU785121 BKY785121 BBC785121 ARG785121 AHK785121 XO785121 NS785121 DW785121 CYI64225 WQI719585 WGM719585 VWQ719585 VMU719585 VCY719585 UTC719585 UJG719585 TZK719585 TPO719585 TFS719585 SVW719585 SMA719585 SCE719585 RSI719585 RIM719585 QYQ719585 QOU719585 QEY719585 PVC719585 PLG719585 PBK719585 ORO719585 OHS719585 NXW719585 NOA719585 NEE719585 MUI719585 MKM719585 MAQ719585 LQU719585 LGY719585 KXC719585 KNG719585 KDK719585 JTO719585 JJS719585 IZW719585 IQA719585 IGE719585 HWI719585 HMM719585 HCQ719585 GSU719585 GIY719585 FZC719585 FPG719585 FFK719585 EVO719585 ELS719585 EBW719585 DSA719585 DIE719585 CYI719585 COM719585 CEQ719585 BUU719585 BKY719585 BBC719585 ARG719585 AHK719585 XO719585 NS719585 DW719585 COM64225 WQI654049 WGM654049 VWQ654049 VMU654049 VCY654049 UTC654049 UJG654049 TZK654049 TPO654049 TFS654049 SVW654049 SMA654049 SCE654049 RSI654049 RIM654049 QYQ654049 QOU654049 QEY654049 PVC654049 PLG654049 PBK654049 ORO654049 OHS654049 NXW654049 NOA654049 NEE654049 MUI654049 MKM654049 MAQ654049 LQU654049 LGY654049 KXC654049 KNG654049 KDK654049 JTO654049 JJS654049 IZW654049 IQA654049 IGE654049 HWI654049 HMM654049 HCQ654049 GSU654049 GIY654049 FZC654049 FPG654049 FFK654049 EVO654049 ELS654049 EBW654049 DSA654049 DIE654049 CYI654049 COM654049 CEQ654049 BUU654049 BKY654049 BBC654049 ARG654049 AHK654049 XO654049 NS654049 DW654049 CEQ64225 WQI588513 WGM588513 VWQ588513 VMU588513 VCY588513 UTC588513 UJG588513 TZK588513 TPO588513 TFS588513 SVW588513 SMA588513 SCE588513 RSI588513 RIM588513 QYQ588513 QOU588513 QEY588513 PVC588513 PLG588513 PBK588513 ORO588513 OHS588513 NXW588513 NOA588513 NEE588513 MUI588513 MKM588513 MAQ588513 LQU588513 LGY588513 KXC588513 KNG588513 KDK588513 JTO588513 JJS588513 IZW588513 IQA588513 IGE588513 HWI588513 HMM588513 HCQ588513 GSU588513 GIY588513 FZC588513 FPG588513 FFK588513 EVO588513 ELS588513 EBW588513 DSA588513 DIE588513 CYI588513 COM588513 CEQ588513 BUU588513 BKY588513 BBC588513 ARG588513 AHK588513 XO588513 NS588513 DW588513 BUU64225 WQI522977 WGM522977 VWQ522977 VMU522977 VCY522977 UTC522977 UJG522977 TZK522977 TPO522977 TFS522977 SVW522977 SMA522977 SCE522977 RSI522977 RIM522977 QYQ522977 QOU522977 QEY522977 PVC522977 PLG522977 PBK522977 ORO522977 OHS522977 NXW522977 NOA522977 NEE522977 MUI522977 MKM522977 MAQ522977 LQU522977 LGY522977 KXC522977 KNG522977 KDK522977 JTO522977 JJS522977 IZW522977 IQA522977 IGE522977 HWI522977 HMM522977 HCQ522977 GSU522977 GIY522977 FZC522977 FPG522977 FFK522977 EVO522977 ELS522977 EBW522977 DSA522977 DIE522977 CYI522977 COM522977 CEQ522977 BUU522977 BKY522977 BBC522977 ARG522977 AHK522977 XO522977 NS522977 DW522977 BKY64225 WQI457441 WGM457441 VWQ457441 VMU457441 VCY457441 UTC457441 UJG457441 TZK457441 TPO457441 TFS457441 SVW457441 SMA457441 SCE457441 RSI457441 RIM457441 QYQ457441 QOU457441 QEY457441 PVC457441 PLG457441 PBK457441 ORO457441 OHS457441 NXW457441 NOA457441 NEE457441 MUI457441 MKM457441 MAQ457441 LQU457441 LGY457441 KXC457441 KNG457441 KDK457441 JTO457441 JJS457441 IZW457441 IQA457441 IGE457441 HWI457441 HMM457441 HCQ457441 GSU457441 GIY457441 FZC457441 FPG457441 FFK457441 EVO457441 ELS457441 EBW457441 DSA457441 DIE457441 CYI457441 COM457441 CEQ457441 BUU457441 BKY457441 BBC457441 ARG457441 AHK457441 XO457441 NS457441 DW457441 BBC64225 WQI391905 WGM391905 VWQ391905 VMU391905 VCY391905 UTC391905 UJG391905 TZK391905 TPO391905 TFS391905 SVW391905 SMA391905 SCE391905 RSI391905 RIM391905 QYQ391905 QOU391905 QEY391905 PVC391905 PLG391905 PBK391905 ORO391905 OHS391905 NXW391905 NOA391905 NEE391905 MUI391905 MKM391905 MAQ391905 LQU391905 LGY391905 KXC391905 KNG391905 KDK391905 JTO391905 JJS391905 IZW391905 IQA391905 IGE391905 HWI391905 HMM391905 HCQ391905 GSU391905 GIY391905 FZC391905 FPG391905 FFK391905 EVO391905 ELS391905 EBW391905 DSA391905 DIE391905 CYI391905 COM391905 CEQ391905 BUU391905 BKY391905 BBC391905 ARG391905 AHK391905 XO391905 NS391905 DW391905 ARG64225 WQI326369 WGM326369 VWQ326369 VMU326369 VCY326369 UTC326369 UJG326369 TZK326369 TPO326369 TFS326369 SVW326369 SMA326369 SCE326369 RSI326369 RIM326369 QYQ326369 QOU326369 QEY326369 PVC326369 PLG326369 PBK326369 ORO326369 OHS326369 NXW326369 NOA326369 NEE326369 MUI326369 MKM326369 MAQ326369 LQU326369 LGY326369 KXC326369 KNG326369 KDK326369 JTO326369 JJS326369 IZW326369 IQA326369 IGE326369 HWI326369 HMM326369 HCQ326369 GSU326369 GIY326369 FZC326369 FPG326369 FFK326369 EVO326369 ELS326369 EBW326369 DSA326369 DIE326369 CYI326369 COM326369 CEQ326369 BUU326369 BKY326369 BBC326369 ARG326369 AHK326369 XO326369 NS326369 DW326369 AHK64225 WQI260833 WGM260833 VWQ260833 VMU260833 VCY260833 UTC260833 UJG260833 TZK260833 TPO260833 TFS260833 SVW260833 SMA260833 SCE260833 RSI260833 RIM260833 QYQ260833 QOU260833 QEY260833 PVC260833 PLG260833 PBK260833 ORO260833 OHS260833 NXW260833 NOA260833 NEE260833 MUI260833 MKM260833 MAQ260833 LQU260833 LGY260833 KXC260833 KNG260833 KDK260833 JTO260833 JJS260833 IZW260833 IQA260833 IGE260833 HWI260833 HMM260833 HCQ260833 GSU260833 GIY260833 FZC260833 FPG260833 FFK260833 EVO260833 ELS260833 EBW260833 DSA260833 DIE260833 CYI260833 COM260833 CEQ260833 BUU260833 BKY260833 BBC260833 ARG260833 AHK260833 XO260833 NS260833 DW260833 XO64225 WQI195297 WGM195297 VWQ195297 VMU195297 VCY195297 UTC195297 UJG195297 TZK195297 TPO195297 TFS195297 SVW195297 SMA195297 SCE195297 RSI195297 RIM195297 QYQ195297 QOU195297 QEY195297 PVC195297 PLG195297 PBK195297 ORO195297 OHS195297 NXW195297 NOA195297 NEE195297 MUI195297 MKM195297 MAQ195297 LQU195297 LGY195297 KXC195297 KNG195297 KDK195297 JTO195297 JJS195297 IZW195297 IQA195297 IGE195297 HWI195297 HMM195297 HCQ195297 GSU195297 GIY195297 FZC195297 FPG195297 FFK195297 EVO195297 ELS195297 EBW195297 DSA195297 DIE195297 CYI195297 COM195297 CEQ195297 BUU195297 BKY195297 BBC195297 ARG195297 AHK195297 XO195297 NS195297 DW195297 NS64225 WQI129761 WGM129761 VWQ129761 VMU129761 VCY129761 UTC129761 UJG129761 TZK129761 TPO129761 TFS129761 SVW129761 SMA129761 SCE129761 RSI129761 RIM129761 QYQ129761 QOU129761 QEY129761 PVC129761 PLG129761 PBK129761 ORO129761 OHS129761 NXW129761 NOA129761 NEE129761 MUI129761 MKM129761 MAQ129761 LQU129761 LGY129761 KXC129761 KNG129761 KDK129761 JTO129761 JJS129761 IZW129761 IQA129761 IGE129761 HWI129761 HMM129761 HCQ129761 GSU129761 GIY129761 FZC129761 FPG129761 FFK129761 EVO129761 ELS129761 EBW129761 DSA129761 DIE129761 CYI129761 COM129761 CEQ129761 BUU129761 BKY129761 BBC129761 ARG129761 AHK129761 XO129761 NS129761 DW129761 DW64225 WQI64225 WGM64225 VWQ64225 VMU64225 VCY64225 UTC64225 UJG64225 TZK64225 TPO64225 TFS64225 SVW64225 SMA64225 SCE64225 RSI64225 RIM64225 QYQ64225 QOU64225 QEY64225 PVC64225 PLG64225 PBK64225 ORO64225 OHS64225 NXW64225 NOA64225 NEE64225 MUI64225 MKM64225 MAQ64225 LQU64225 LGY64225 KXC64225 KNG64225 KDK64225 JTO64225 JJS64225 IZW64225 IQA64225 IGE64225 HWI64225 HMM64225 HCQ64225 GSU64225 GIY64225 FZC64225 FPG64225 FFK64225 EVO64225" xr:uid="{1E2810F6-8B47-47F4-AB2A-1777D21ACE9A}">
      <formula1>$B$63284:$B$63983</formula1>
    </dataValidation>
    <dataValidation type="list" allowBlank="1" showInputMessage="1" showErrorMessage="1" sqref="DW5 FFK5 FPG5 FZC5 GIY5 GSU5 HCQ5 HMM5 HWI5 IGE5 IQA5 IZW5 JJS5 JTO5 KDK5 KNG5 KXC5 LGY5 LQU5 MAQ5 MKM5 MUI5 NEE5 NOA5 NXW5 OHS5 ORO5 PBK5 PLG5 PVC5 QEY5 QOU5 QYQ5 RIM5 RSI5 SCE5 SMA5 SVW5 TFS5 TPO5 TZK5 UJG5 UTC5 VCY5 VMU5 VWQ5 WGM5 WQI5 NS5 XO5 AHK5 ARG5 BBC5 BKY5 BUU5 CEQ5 COM5 CYI5 DIE5 DSA5 EBW5 ELS5 EVO5" xr:uid="{47CD9FA7-10F5-4CCB-ACBD-DA592A4486E6}">
      <formula1>$B$63455:$B$64154</formula1>
    </dataValidation>
    <dataValidation type="list" allowBlank="1" showInputMessage="1" showErrorMessage="1" sqref="B5" xr:uid="{948A1DF1-8B36-4222-A169-4FB7D24CE213}">
      <formula1>$B$63368:$B$64067</formula1>
    </dataValidation>
    <dataValidation type="list" allowBlank="1" showInputMessage="1" showErrorMessage="1" sqref="B64290 B129826 B195362 B260898 B326434 B391970 B457506 B523042 B588578 B654114 B719650 B785186 B850722 B916258 B981794" xr:uid="{9C0B34AF-31C6-4BAA-B297-1EFD012D373D}">
      <formula1>$B$63358:$B$64057</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C7BD-F3DC-4B41-A25F-3AC3587E2FCB}">
  <dimension ref="A1:AU34"/>
  <sheetViews>
    <sheetView zoomScale="87" zoomScaleNormal="87" workbookViewId="0">
      <pane xSplit="3" ySplit="7" topLeftCell="D8" activePane="bottomRight" state="frozen"/>
      <selection pane="bottomRight" activeCell="L15" sqref="L15"/>
      <selection pane="bottomLeft" activeCell="A8" sqref="A8"/>
      <selection pane="topRight" activeCell="D1" sqref="D1"/>
    </sheetView>
  </sheetViews>
  <sheetFormatPr defaultColWidth="11.42578125" defaultRowHeight="12.75"/>
  <cols>
    <col min="1" max="1" width="8.5703125" style="83" bestFit="1" customWidth="1"/>
    <col min="2" max="2" width="38.28515625" style="83" bestFit="1" customWidth="1"/>
    <col min="3" max="3" width="18.140625" style="103" bestFit="1" customWidth="1"/>
    <col min="4" max="5" width="18.140625" style="104" bestFit="1" customWidth="1"/>
    <col min="6" max="8" width="18.140625" style="104" customWidth="1"/>
    <col min="9" max="9" width="15.140625" style="104" hidden="1" customWidth="1"/>
    <col min="10" max="10" width="17" style="104" bestFit="1" customWidth="1"/>
    <col min="11" max="11" width="3.85546875" style="104" customWidth="1"/>
    <col min="12" max="12" width="17.28515625" style="104" customWidth="1"/>
    <col min="13" max="14" width="15.5703125" style="104" customWidth="1"/>
    <col min="15" max="15" width="14.42578125" style="104" customWidth="1"/>
    <col min="16" max="16" width="14.28515625" style="103" customWidth="1"/>
    <col min="17" max="17" width="14.28515625" style="104" bestFit="1" customWidth="1"/>
    <col min="18" max="18" width="15.5703125" style="104" bestFit="1" customWidth="1"/>
    <col min="19" max="19" width="14.28515625" style="104" bestFit="1" customWidth="1"/>
    <col min="20" max="20" width="15" style="104" customWidth="1"/>
    <col min="21" max="21" width="10.5703125" style="104" hidden="1" customWidth="1"/>
    <col min="22" max="23" width="10.140625" style="104" hidden="1" customWidth="1"/>
    <col min="24" max="26" width="10" style="104" hidden="1" customWidth="1"/>
    <col min="27" max="27" width="11.28515625" style="104" hidden="1" customWidth="1"/>
    <col min="28" max="28" width="10" style="104" hidden="1" customWidth="1"/>
    <col min="29" max="29" width="11.85546875" style="104" hidden="1" customWidth="1"/>
    <col min="30" max="31" width="11.7109375" style="104" hidden="1" customWidth="1"/>
    <col min="32" max="37" width="11.5703125" style="104" bestFit="1" customWidth="1"/>
    <col min="38" max="16384" width="11.42578125" style="104"/>
  </cols>
  <sheetData>
    <row r="1" spans="1:47" s="80" customFormat="1" ht="15">
      <c r="A1" s="74"/>
      <c r="B1" s="74"/>
      <c r="C1" s="74" t="s">
        <v>64</v>
      </c>
      <c r="D1" s="74" t="s">
        <v>64</v>
      </c>
      <c r="E1" s="74" t="s">
        <v>64</v>
      </c>
      <c r="F1" s="74" t="s">
        <v>64</v>
      </c>
      <c r="G1" s="74" t="s">
        <v>64</v>
      </c>
      <c r="H1" s="74" t="s">
        <v>64</v>
      </c>
      <c r="I1" s="74" t="s">
        <v>64</v>
      </c>
      <c r="J1" s="74" t="s">
        <v>64</v>
      </c>
      <c r="K1" s="74"/>
      <c r="L1" s="74" t="s">
        <v>64</v>
      </c>
      <c r="M1" s="74" t="s">
        <v>64</v>
      </c>
      <c r="N1" s="74" t="s">
        <v>64</v>
      </c>
      <c r="O1" s="74" t="s">
        <v>64</v>
      </c>
      <c r="P1" s="74" t="s">
        <v>64</v>
      </c>
      <c r="Q1" s="74" t="s">
        <v>64</v>
      </c>
      <c r="R1" s="74" t="s">
        <v>64</v>
      </c>
      <c r="S1" s="74" t="s">
        <v>64</v>
      </c>
      <c r="T1" s="88"/>
      <c r="U1" s="88"/>
      <c r="V1" s="88"/>
      <c r="W1" s="88"/>
      <c r="X1" s="88"/>
      <c r="Y1" s="88"/>
      <c r="Z1" s="88"/>
      <c r="AA1" s="88"/>
      <c r="AB1" s="88"/>
      <c r="AC1" s="88"/>
      <c r="AD1" s="88"/>
      <c r="AE1" s="88"/>
      <c r="AF1" s="88"/>
      <c r="AG1" s="88"/>
      <c r="AH1" s="88"/>
      <c r="AI1" s="88"/>
      <c r="AJ1" s="88"/>
      <c r="AK1" s="88"/>
      <c r="AL1" s="79"/>
      <c r="AM1" s="79"/>
      <c r="AN1" s="79"/>
      <c r="AO1" s="79"/>
      <c r="AP1" s="79"/>
      <c r="AQ1" s="79"/>
      <c r="AR1" s="79"/>
      <c r="AS1" s="79"/>
      <c r="AT1" s="79"/>
      <c r="AU1" s="79"/>
    </row>
    <row r="2" spans="1:47" s="82" customFormat="1" ht="15">
      <c r="A2" s="74"/>
      <c r="B2" s="74"/>
      <c r="C2" s="130" t="s">
        <v>65</v>
      </c>
      <c r="D2" s="130" t="s">
        <v>65</v>
      </c>
      <c r="E2" s="130" t="s">
        <v>65</v>
      </c>
      <c r="F2" s="130" t="s">
        <v>65</v>
      </c>
      <c r="G2" s="130" t="s">
        <v>65</v>
      </c>
      <c r="H2" s="130" t="s">
        <v>65</v>
      </c>
      <c r="I2" s="130" t="s">
        <v>65</v>
      </c>
      <c r="J2" s="130" t="s">
        <v>66</v>
      </c>
      <c r="K2" s="74"/>
      <c r="L2" s="130" t="s">
        <v>65</v>
      </c>
      <c r="M2" s="130" t="s">
        <v>65</v>
      </c>
      <c r="N2" s="130" t="s">
        <v>65</v>
      </c>
      <c r="O2" s="130" t="s">
        <v>65</v>
      </c>
      <c r="P2" s="130" t="s">
        <v>65</v>
      </c>
      <c r="Q2" s="130" t="s">
        <v>65</v>
      </c>
      <c r="R2" s="130" t="s">
        <v>65</v>
      </c>
      <c r="S2" s="130" t="s">
        <v>66</v>
      </c>
      <c r="T2" s="89"/>
      <c r="U2" s="89"/>
      <c r="V2" s="89"/>
      <c r="W2" s="89"/>
      <c r="X2" s="89"/>
      <c r="Y2" s="89"/>
      <c r="Z2" s="89"/>
      <c r="AA2" s="89"/>
      <c r="AB2" s="89"/>
      <c r="AC2" s="89"/>
      <c r="AD2" s="89"/>
      <c r="AE2" s="89"/>
      <c r="AF2" s="89"/>
      <c r="AG2" s="89"/>
      <c r="AH2" s="89"/>
      <c r="AI2" s="89"/>
      <c r="AJ2" s="89"/>
      <c r="AK2" s="89"/>
      <c r="AL2" s="81"/>
      <c r="AM2" s="81"/>
      <c r="AN2" s="81"/>
      <c r="AO2" s="81"/>
      <c r="AP2" s="81"/>
      <c r="AQ2" s="81"/>
      <c r="AR2" s="81"/>
      <c r="AS2" s="81"/>
      <c r="AT2" s="81"/>
      <c r="AU2" s="81"/>
    </row>
    <row r="3" spans="1:47" s="80" customFormat="1" ht="15">
      <c r="A3" s="74"/>
      <c r="B3" s="74"/>
      <c r="C3" s="74"/>
      <c r="D3" s="74"/>
      <c r="E3" s="74"/>
      <c r="F3" s="74"/>
      <c r="G3" s="74"/>
      <c r="H3" s="74"/>
      <c r="I3" s="74"/>
      <c r="J3" s="74"/>
      <c r="K3" s="74"/>
      <c r="L3" s="74"/>
      <c r="M3" s="74"/>
      <c r="N3" s="74"/>
      <c r="O3" s="74"/>
      <c r="P3" s="74"/>
      <c r="Q3" s="74"/>
      <c r="R3" s="74"/>
      <c r="S3" s="74"/>
      <c r="T3" s="88"/>
      <c r="U3" s="88"/>
      <c r="V3" s="88"/>
      <c r="W3" s="88"/>
      <c r="X3" s="88"/>
      <c r="Y3" s="88"/>
      <c r="Z3" s="88"/>
      <c r="AA3" s="88"/>
      <c r="AB3" s="88"/>
      <c r="AC3" s="88"/>
      <c r="AD3" s="88"/>
      <c r="AE3" s="88"/>
      <c r="AF3" s="88"/>
      <c r="AG3" s="88"/>
      <c r="AH3" s="88"/>
      <c r="AI3" s="88"/>
      <c r="AJ3" s="88"/>
      <c r="AK3" s="88"/>
      <c r="AL3" s="79"/>
      <c r="AM3" s="79"/>
      <c r="AN3" s="79"/>
      <c r="AO3" s="79"/>
      <c r="AP3" s="79"/>
      <c r="AQ3" s="79"/>
      <c r="AR3" s="79"/>
      <c r="AS3" s="79"/>
      <c r="AT3" s="79"/>
      <c r="AU3" s="79"/>
    </row>
    <row r="4" spans="1:47" s="80" customFormat="1" ht="15">
      <c r="A4" s="74"/>
      <c r="B4" s="74"/>
      <c r="C4" s="74" t="s">
        <v>67</v>
      </c>
      <c r="D4" s="74" t="s">
        <v>67</v>
      </c>
      <c r="E4" s="74" t="s">
        <v>67</v>
      </c>
      <c r="F4" s="74" t="s">
        <v>67</v>
      </c>
      <c r="G4" s="74" t="s">
        <v>67</v>
      </c>
      <c r="H4" s="74" t="s">
        <v>67</v>
      </c>
      <c r="I4" s="74" t="s">
        <v>67</v>
      </c>
      <c r="J4" s="74" t="s">
        <v>67</v>
      </c>
      <c r="K4" s="74"/>
      <c r="L4" s="74" t="s">
        <v>67</v>
      </c>
      <c r="M4" s="74" t="s">
        <v>67</v>
      </c>
      <c r="N4" s="74" t="s">
        <v>67</v>
      </c>
      <c r="O4" s="74" t="s">
        <v>67</v>
      </c>
      <c r="P4" s="74" t="s">
        <v>67</v>
      </c>
      <c r="Q4" s="74" t="s">
        <v>67</v>
      </c>
      <c r="R4" s="74" t="s">
        <v>67</v>
      </c>
      <c r="S4" s="74" t="s">
        <v>67</v>
      </c>
      <c r="T4" s="88"/>
      <c r="U4" s="88"/>
      <c r="V4" s="88"/>
      <c r="W4" s="88"/>
      <c r="X4" s="88"/>
      <c r="Y4" s="88"/>
      <c r="Z4" s="88"/>
      <c r="AA4" s="88"/>
      <c r="AB4" s="88"/>
      <c r="AC4" s="88"/>
      <c r="AD4" s="88"/>
      <c r="AE4" s="88"/>
      <c r="AF4" s="88"/>
      <c r="AG4" s="88"/>
      <c r="AH4" s="88"/>
      <c r="AI4" s="88"/>
      <c r="AJ4" s="88"/>
      <c r="AK4" s="88"/>
      <c r="AL4" s="79"/>
      <c r="AM4" s="79"/>
      <c r="AN4" s="79"/>
      <c r="AO4" s="79"/>
      <c r="AP4" s="79"/>
      <c r="AQ4" s="79"/>
      <c r="AR4" s="79"/>
      <c r="AS4" s="79"/>
      <c r="AT4" s="79"/>
      <c r="AU4" s="79"/>
    </row>
    <row r="5" spans="1:47" s="80" customFormat="1" ht="15">
      <c r="A5" s="74"/>
      <c r="B5" s="74"/>
      <c r="C5" s="74" t="s">
        <v>68</v>
      </c>
      <c r="D5" s="74" t="s">
        <v>68</v>
      </c>
      <c r="E5" s="74" t="s">
        <v>68</v>
      </c>
      <c r="F5" s="74" t="s">
        <v>68</v>
      </c>
      <c r="G5" s="74" t="s">
        <v>68</v>
      </c>
      <c r="H5" s="74" t="s">
        <v>68</v>
      </c>
      <c r="I5" s="74" t="s">
        <v>68</v>
      </c>
      <c r="J5" s="74" t="s">
        <v>68</v>
      </c>
      <c r="K5" s="74"/>
      <c r="L5" s="74" t="s">
        <v>69</v>
      </c>
      <c r="M5" s="74" t="s">
        <v>69</v>
      </c>
      <c r="N5" s="74" t="s">
        <v>69</v>
      </c>
      <c r="O5" s="74" t="s">
        <v>69</v>
      </c>
      <c r="P5" s="74" t="s">
        <v>69</v>
      </c>
      <c r="Q5" s="74" t="s">
        <v>69</v>
      </c>
      <c r="R5" s="74" t="s">
        <v>69</v>
      </c>
      <c r="S5" s="74" t="s">
        <v>69</v>
      </c>
      <c r="T5" s="88"/>
      <c r="U5" s="88"/>
      <c r="V5" s="88"/>
      <c r="W5" s="88"/>
      <c r="X5" s="88"/>
      <c r="Y5" s="88"/>
      <c r="Z5" s="88"/>
      <c r="AA5" s="88"/>
      <c r="AB5" s="88"/>
      <c r="AC5" s="88"/>
      <c r="AD5" s="88"/>
      <c r="AE5" s="88"/>
      <c r="AF5" s="88"/>
      <c r="AG5" s="88"/>
      <c r="AH5" s="88"/>
      <c r="AI5" s="88"/>
      <c r="AJ5" s="88"/>
      <c r="AK5" s="88"/>
      <c r="AL5" s="79"/>
      <c r="AM5" s="79"/>
      <c r="AN5" s="79"/>
      <c r="AO5" s="79"/>
      <c r="AP5" s="79"/>
      <c r="AQ5" s="79"/>
      <c r="AR5" s="79"/>
      <c r="AS5" s="79"/>
      <c r="AT5" s="79"/>
      <c r="AU5" s="79"/>
    </row>
    <row r="6" spans="1:47" s="93" customFormat="1" ht="15">
      <c r="A6" s="74"/>
      <c r="B6" s="74"/>
      <c r="C6" s="74" t="s">
        <v>70</v>
      </c>
      <c r="D6" s="74" t="s">
        <v>71</v>
      </c>
      <c r="E6" s="74" t="s">
        <v>72</v>
      </c>
      <c r="F6" s="74" t="s">
        <v>73</v>
      </c>
      <c r="G6" s="74" t="s">
        <v>74</v>
      </c>
      <c r="H6" s="74" t="s">
        <v>75</v>
      </c>
      <c r="I6" s="74" t="s">
        <v>76</v>
      </c>
      <c r="J6" s="74" t="s">
        <v>77</v>
      </c>
      <c r="K6" s="74"/>
      <c r="L6" s="74" t="s">
        <v>70</v>
      </c>
      <c r="M6" s="74" t="s">
        <v>71</v>
      </c>
      <c r="N6" s="74" t="s">
        <v>72</v>
      </c>
      <c r="O6" s="74" t="s">
        <v>73</v>
      </c>
      <c r="P6" s="74" t="s">
        <v>74</v>
      </c>
      <c r="Q6" s="74" t="s">
        <v>75</v>
      </c>
      <c r="R6" s="74" t="s">
        <v>76</v>
      </c>
      <c r="S6" s="74" t="s">
        <v>77</v>
      </c>
      <c r="T6" s="88"/>
      <c r="U6" s="88"/>
      <c r="V6" s="88"/>
      <c r="W6" s="88"/>
      <c r="X6" s="88"/>
      <c r="Y6" s="88"/>
      <c r="Z6" s="88"/>
      <c r="AA6" s="88"/>
      <c r="AB6" s="88"/>
      <c r="AC6" s="88"/>
      <c r="AD6" s="92"/>
      <c r="AE6" s="92"/>
      <c r="AF6" s="92"/>
      <c r="AG6" s="92"/>
      <c r="AH6" s="92"/>
      <c r="AI6" s="92"/>
      <c r="AJ6" s="92"/>
      <c r="AK6" s="92"/>
      <c r="AL6" s="91"/>
      <c r="AM6" s="91"/>
      <c r="AN6" s="91"/>
      <c r="AO6" s="91"/>
      <c r="AP6" s="91"/>
      <c r="AQ6" s="91"/>
      <c r="AR6" s="91"/>
      <c r="AS6" s="91"/>
      <c r="AT6" s="91"/>
      <c r="AU6" s="91"/>
    </row>
    <row r="7" spans="1:47" s="80" customFormat="1" ht="15">
      <c r="A7" s="74"/>
      <c r="B7" s="74"/>
      <c r="C7" s="74" t="s">
        <v>78</v>
      </c>
      <c r="D7" s="74" t="s">
        <v>78</v>
      </c>
      <c r="E7" s="74" t="s">
        <v>78</v>
      </c>
      <c r="F7" s="74" t="s">
        <v>78</v>
      </c>
      <c r="G7" s="74" t="s">
        <v>78</v>
      </c>
      <c r="H7" s="74" t="s">
        <v>78</v>
      </c>
      <c r="I7" s="74" t="s">
        <v>78</v>
      </c>
      <c r="J7" s="74" t="s">
        <v>78</v>
      </c>
      <c r="K7" s="74"/>
      <c r="L7" s="74" t="s">
        <v>78</v>
      </c>
      <c r="M7" s="74" t="s">
        <v>78</v>
      </c>
      <c r="N7" s="74" t="s">
        <v>78</v>
      </c>
      <c r="O7" s="74" t="s">
        <v>78</v>
      </c>
      <c r="P7" s="74" t="s">
        <v>78</v>
      </c>
      <c r="Q7" s="74" t="s">
        <v>78</v>
      </c>
      <c r="R7" s="74" t="s">
        <v>78</v>
      </c>
      <c r="S7" s="74" t="s">
        <v>78</v>
      </c>
      <c r="T7" s="110"/>
      <c r="U7" s="110"/>
      <c r="V7" s="110"/>
      <c r="W7" s="110"/>
      <c r="X7" s="110"/>
      <c r="Y7" s="110"/>
      <c r="Z7" s="110"/>
      <c r="AA7" s="110"/>
      <c r="AB7" s="110"/>
      <c r="AC7" s="110"/>
      <c r="AD7" s="110"/>
      <c r="AE7" s="110"/>
      <c r="AF7" s="110"/>
      <c r="AG7" s="110"/>
      <c r="AH7" s="110"/>
      <c r="AI7" s="110"/>
      <c r="AJ7" s="110"/>
      <c r="AK7" s="110"/>
      <c r="AL7" s="103"/>
      <c r="AM7" s="103"/>
      <c r="AN7" s="103"/>
      <c r="AO7" s="103"/>
      <c r="AP7" s="103"/>
      <c r="AQ7" s="103"/>
      <c r="AR7" s="79"/>
      <c r="AS7" s="79"/>
      <c r="AT7" s="79"/>
      <c r="AU7" s="79"/>
    </row>
    <row r="8" spans="1:47" ht="15">
      <c r="A8" s="130" t="s">
        <v>79</v>
      </c>
      <c r="B8" s="74" t="s">
        <v>80</v>
      </c>
      <c r="C8" s="76">
        <v>120065.31600000008</v>
      </c>
      <c r="D8" s="76">
        <v>109019.99900000007</v>
      </c>
      <c r="E8" s="76">
        <v>135565.21900000007</v>
      </c>
      <c r="F8" s="76">
        <v>141915.53900000008</v>
      </c>
      <c r="G8" s="76">
        <v>383468.05300000007</v>
      </c>
      <c r="H8" s="76">
        <v>152290.97600000002</v>
      </c>
      <c r="I8" s="76">
        <v>144628.73100000003</v>
      </c>
      <c r="J8" s="76">
        <v>124708.51800000004</v>
      </c>
      <c r="K8" s="76"/>
      <c r="L8" s="76">
        <v>25.093650000000011</v>
      </c>
      <c r="M8" s="76">
        <v>22.817880000000009</v>
      </c>
      <c r="N8" s="76">
        <v>28.780490000000011</v>
      </c>
      <c r="O8" s="76">
        <v>29.731300000000012</v>
      </c>
      <c r="P8" s="76">
        <v>84.669750000000022</v>
      </c>
      <c r="Q8" s="76">
        <v>35.544700000000006</v>
      </c>
      <c r="R8" s="76">
        <v>33.365850000000009</v>
      </c>
      <c r="S8" s="76">
        <v>27.311149999999952</v>
      </c>
      <c r="T8" s="101"/>
      <c r="U8" s="101"/>
      <c r="V8" s="101"/>
      <c r="W8" s="101"/>
      <c r="X8" s="101"/>
      <c r="Y8" s="101"/>
      <c r="Z8" s="101"/>
      <c r="AA8" s="101"/>
      <c r="AB8" s="101"/>
      <c r="AC8" s="101"/>
      <c r="AD8" s="100"/>
      <c r="AE8" s="100"/>
      <c r="AF8" s="100"/>
      <c r="AG8" s="100"/>
      <c r="AH8" s="100"/>
      <c r="AI8" s="100"/>
      <c r="AJ8" s="100"/>
      <c r="AK8" s="100"/>
    </row>
    <row r="9" spans="1:47" s="112" customFormat="1" ht="15">
      <c r="A9" s="130" t="s">
        <v>81</v>
      </c>
      <c r="B9" s="74" t="s">
        <v>82</v>
      </c>
      <c r="C9" s="76">
        <v>10093815.426000003</v>
      </c>
      <c r="D9" s="76">
        <v>11767166.114000002</v>
      </c>
      <c r="E9" s="76">
        <v>11339465.071000002</v>
      </c>
      <c r="F9" s="76">
        <v>10068075.695000002</v>
      </c>
      <c r="G9" s="76">
        <v>9045581.6410000026</v>
      </c>
      <c r="H9" s="76">
        <v>12423160.691000002</v>
      </c>
      <c r="I9" s="76">
        <v>13484167.965000002</v>
      </c>
      <c r="J9" s="76">
        <v>11886554.317000002</v>
      </c>
      <c r="K9" s="76"/>
      <c r="L9" s="76">
        <v>2109.6074200000007</v>
      </c>
      <c r="M9" s="76">
        <v>2462.8678800000007</v>
      </c>
      <c r="N9" s="76">
        <v>2407.3684500000008</v>
      </c>
      <c r="O9" s="76">
        <v>2109.261860000001</v>
      </c>
      <c r="P9" s="76">
        <v>1997.2644400000008</v>
      </c>
      <c r="Q9" s="76">
        <v>2899.5656900000008</v>
      </c>
      <c r="R9" s="76">
        <v>3110.7975300000007</v>
      </c>
      <c r="S9" s="76">
        <v>2603.1554000000006</v>
      </c>
      <c r="T9" s="101"/>
      <c r="U9" s="101"/>
      <c r="V9" s="101"/>
      <c r="W9" s="101"/>
      <c r="X9" s="101"/>
      <c r="Y9" s="101"/>
      <c r="Z9" s="101"/>
      <c r="AA9" s="101"/>
      <c r="AB9" s="101"/>
      <c r="AC9" s="101"/>
      <c r="AD9" s="111"/>
      <c r="AE9" s="111"/>
      <c r="AF9" s="111"/>
      <c r="AG9" s="111"/>
      <c r="AH9" s="111"/>
      <c r="AI9" s="111"/>
      <c r="AJ9" s="111"/>
      <c r="AK9" s="111"/>
    </row>
    <row r="10" spans="1:47" s="112" customFormat="1" ht="15">
      <c r="A10" s="130" t="s">
        <v>83</v>
      </c>
      <c r="B10" s="74" t="s">
        <v>84</v>
      </c>
      <c r="C10" s="76">
        <v>-196267.8</v>
      </c>
      <c r="D10" s="76">
        <v>-166267.79999999999</v>
      </c>
      <c r="E10" s="76">
        <v>-166267.79999999999</v>
      </c>
      <c r="F10" s="76">
        <v>-166267.79999999999</v>
      </c>
      <c r="G10" s="76">
        <v>-166267.79999999999</v>
      </c>
      <c r="H10" s="76">
        <v>-166267.79999999999</v>
      </c>
      <c r="I10" s="76">
        <v>-166267.79999999999</v>
      </c>
      <c r="J10" s="76">
        <v>-191612.59799999997</v>
      </c>
      <c r="K10" s="76"/>
      <c r="L10" s="76">
        <v>-41.019970000000008</v>
      </c>
      <c r="M10" s="76">
        <v>-34.799850000000006</v>
      </c>
      <c r="N10" s="76">
        <v>-35.298650000000009</v>
      </c>
      <c r="O10" s="76">
        <v>-34.833100000000009</v>
      </c>
      <c r="P10" s="76">
        <v>-36.711930000000009</v>
      </c>
      <c r="Q10" s="76">
        <v>-38.806900000000006</v>
      </c>
      <c r="R10" s="76">
        <v>-38.357980000000005</v>
      </c>
      <c r="S10" s="76">
        <v>-41.963159999999988</v>
      </c>
      <c r="T10" s="101"/>
      <c r="U10" s="101"/>
      <c r="V10" s="101"/>
      <c r="W10" s="101"/>
      <c r="X10" s="101"/>
      <c r="Y10" s="101"/>
      <c r="Z10" s="101"/>
      <c r="AA10" s="101"/>
      <c r="AB10" s="101"/>
      <c r="AC10" s="101"/>
      <c r="AD10" s="111"/>
      <c r="AE10" s="111"/>
      <c r="AF10" s="111"/>
      <c r="AG10" s="111"/>
      <c r="AH10" s="111"/>
      <c r="AI10" s="111"/>
      <c r="AJ10" s="111"/>
      <c r="AK10" s="111"/>
    </row>
    <row r="11" spans="1:47" s="112" customFormat="1" ht="15">
      <c r="A11" s="130" t="s">
        <v>85</v>
      </c>
      <c r="B11" s="74" t="s">
        <v>86</v>
      </c>
      <c r="C11" s="76">
        <v>-15042.919000000005</v>
      </c>
      <c r="D11" s="76">
        <v>-31623.263000000006</v>
      </c>
      <c r="E11" s="76">
        <v>-33753.169000000009</v>
      </c>
      <c r="F11" s="76">
        <v>-41959.579000000012</v>
      </c>
      <c r="G11" s="76">
        <v>-20862.497000000007</v>
      </c>
      <c r="H11" s="76">
        <v>-8214.3780000000061</v>
      </c>
      <c r="I11" s="76">
        <v>-7895.1740000000063</v>
      </c>
      <c r="J11" s="76">
        <v>-26204.078999999994</v>
      </c>
      <c r="K11" s="76"/>
      <c r="L11" s="76">
        <v>-3.1439800000000004</v>
      </c>
      <c r="M11" s="76">
        <v>-6.6187400000000007</v>
      </c>
      <c r="N11" s="76">
        <v>-7.1658000000000008</v>
      </c>
      <c r="O11" s="76">
        <v>-8.7905300000000004</v>
      </c>
      <c r="P11" s="76">
        <v>-4.606440000000001</v>
      </c>
      <c r="Q11" s="76">
        <v>-1.9172300000000007</v>
      </c>
      <c r="R11" s="76">
        <v>-1.8214200000000007</v>
      </c>
      <c r="S11" s="76">
        <v>-5.7386900000000072</v>
      </c>
      <c r="T11" s="101"/>
      <c r="U11" s="101"/>
      <c r="V11" s="101"/>
      <c r="W11" s="101"/>
      <c r="X11" s="101"/>
      <c r="Y11" s="101"/>
      <c r="Z11" s="101"/>
      <c r="AA11" s="101"/>
      <c r="AB11" s="101"/>
      <c r="AC11" s="101"/>
      <c r="AD11" s="111"/>
      <c r="AE11" s="111"/>
      <c r="AF11" s="111"/>
      <c r="AG11" s="111"/>
      <c r="AH11" s="111"/>
      <c r="AI11" s="111"/>
      <c r="AJ11" s="111"/>
      <c r="AK11" s="111"/>
    </row>
    <row r="12" spans="1:47" s="112" customFormat="1" ht="15">
      <c r="A12" s="130" t="s">
        <v>87</v>
      </c>
      <c r="B12" s="74" t="s">
        <v>88</v>
      </c>
      <c r="C12" s="76">
        <v>4985210.0090000005</v>
      </c>
      <c r="D12" s="76">
        <v>5014814.4310000008</v>
      </c>
      <c r="E12" s="76">
        <v>4942146.3080000011</v>
      </c>
      <c r="F12" s="76">
        <v>5455379.046000001</v>
      </c>
      <c r="G12" s="76">
        <v>5266346.9590000007</v>
      </c>
      <c r="H12" s="76">
        <v>5558645.995000001</v>
      </c>
      <c r="I12" s="76">
        <v>5534157.1300000008</v>
      </c>
      <c r="J12" s="76">
        <v>5167789.9800000014</v>
      </c>
      <c r="K12" s="76"/>
      <c r="L12" s="76">
        <v>1041.9089000000001</v>
      </c>
      <c r="M12" s="76">
        <v>1049.6006600000001</v>
      </c>
      <c r="N12" s="76">
        <v>1049.21767</v>
      </c>
      <c r="O12" s="76">
        <v>1142.90191</v>
      </c>
      <c r="P12" s="76">
        <v>1162.8094000000001</v>
      </c>
      <c r="Q12" s="76">
        <v>1297.3879700000002</v>
      </c>
      <c r="R12" s="76">
        <v>1276.7300400000001</v>
      </c>
      <c r="S12" s="76">
        <v>1131.7460000000001</v>
      </c>
      <c r="T12" s="101"/>
      <c r="U12" s="101"/>
      <c r="V12" s="101"/>
      <c r="W12" s="101"/>
      <c r="X12" s="101"/>
      <c r="Y12" s="101"/>
      <c r="Z12" s="101"/>
      <c r="AA12" s="101"/>
      <c r="AB12" s="101"/>
      <c r="AC12" s="101"/>
      <c r="AD12" s="111"/>
      <c r="AE12" s="111"/>
      <c r="AF12" s="111"/>
      <c r="AG12" s="111"/>
      <c r="AH12" s="111"/>
      <c r="AI12" s="111"/>
      <c r="AJ12" s="111"/>
      <c r="AK12" s="111"/>
    </row>
    <row r="13" spans="1:47" s="112" customFormat="1" ht="15">
      <c r="A13" s="130" t="s">
        <v>89</v>
      </c>
      <c r="B13" s="74" t="s">
        <v>90</v>
      </c>
      <c r="C13" s="76">
        <v>0</v>
      </c>
      <c r="D13" s="76">
        <v>0</v>
      </c>
      <c r="E13" s="76">
        <v>0</v>
      </c>
      <c r="F13" s="76">
        <v>0</v>
      </c>
      <c r="G13" s="76">
        <v>0</v>
      </c>
      <c r="H13" s="76">
        <v>0</v>
      </c>
      <c r="I13" s="76">
        <v>0</v>
      </c>
      <c r="J13" s="76">
        <v>0</v>
      </c>
      <c r="K13" s="76"/>
      <c r="L13" s="76">
        <v>0</v>
      </c>
      <c r="M13" s="76">
        <v>0</v>
      </c>
      <c r="N13" s="76">
        <v>0</v>
      </c>
      <c r="O13" s="76">
        <v>0</v>
      </c>
      <c r="P13" s="76">
        <v>0</v>
      </c>
      <c r="Q13" s="76">
        <v>0</v>
      </c>
      <c r="R13" s="76">
        <v>0</v>
      </c>
      <c r="S13" s="76">
        <v>0</v>
      </c>
      <c r="T13" s="101"/>
      <c r="U13" s="101"/>
      <c r="V13" s="101"/>
      <c r="W13" s="101"/>
      <c r="X13" s="101"/>
      <c r="Y13" s="101"/>
      <c r="Z13" s="101"/>
      <c r="AA13" s="101"/>
      <c r="AB13" s="101"/>
      <c r="AC13" s="101"/>
      <c r="AD13" s="111"/>
      <c r="AE13" s="111"/>
      <c r="AF13" s="111"/>
      <c r="AG13" s="111"/>
      <c r="AH13" s="111"/>
      <c r="AI13" s="111"/>
      <c r="AJ13" s="111"/>
      <c r="AK13" s="111"/>
    </row>
    <row r="14" spans="1:47" s="112" customFormat="1" ht="15">
      <c r="A14" s="130" t="s">
        <v>91</v>
      </c>
      <c r="B14" s="74" t="s">
        <v>92</v>
      </c>
      <c r="C14" s="76">
        <v>0</v>
      </c>
      <c r="D14" s="76">
        <v>0</v>
      </c>
      <c r="E14" s="76">
        <v>0</v>
      </c>
      <c r="F14" s="76">
        <v>0</v>
      </c>
      <c r="G14" s="76">
        <v>0</v>
      </c>
      <c r="H14" s="76">
        <v>0</v>
      </c>
      <c r="I14" s="76">
        <v>0</v>
      </c>
      <c r="J14" s="76">
        <v>0</v>
      </c>
      <c r="K14" s="76"/>
      <c r="L14" s="76">
        <v>0</v>
      </c>
      <c r="M14" s="76">
        <v>0</v>
      </c>
      <c r="N14" s="76">
        <v>0</v>
      </c>
      <c r="O14" s="76">
        <v>0</v>
      </c>
      <c r="P14" s="76">
        <v>0</v>
      </c>
      <c r="Q14" s="76">
        <v>0</v>
      </c>
      <c r="R14" s="76">
        <v>0</v>
      </c>
      <c r="S14" s="76">
        <v>0</v>
      </c>
      <c r="T14" s="101"/>
      <c r="U14" s="101"/>
      <c r="V14" s="101"/>
      <c r="W14" s="101"/>
      <c r="X14" s="101"/>
      <c r="Y14" s="101"/>
      <c r="Z14" s="101"/>
      <c r="AA14" s="101"/>
      <c r="AB14" s="101"/>
      <c r="AC14" s="101"/>
      <c r="AD14" s="111"/>
      <c r="AE14" s="111"/>
      <c r="AF14" s="111"/>
      <c r="AG14" s="111"/>
      <c r="AH14" s="111"/>
      <c r="AI14" s="111"/>
      <c r="AJ14" s="111"/>
      <c r="AK14" s="111"/>
    </row>
    <row r="15" spans="1:47" s="117" customFormat="1" ht="16.5" customHeight="1">
      <c r="A15" s="132" t="s">
        <v>93</v>
      </c>
      <c r="B15" s="102" t="s">
        <v>94</v>
      </c>
      <c r="C15" s="115">
        <f>SUM(C9:C14)</f>
        <v>14867714.716000002</v>
      </c>
      <c r="D15" s="115">
        <f t="shared" ref="D15:J15" si="0">SUM(D9:D14)</f>
        <v>16584089.482000001</v>
      </c>
      <c r="E15" s="115">
        <f t="shared" si="0"/>
        <v>16081590.410000004</v>
      </c>
      <c r="F15" s="115">
        <f t="shared" si="0"/>
        <v>15315227.362000003</v>
      </c>
      <c r="G15" s="115">
        <f t="shared" si="0"/>
        <v>14124798.303000003</v>
      </c>
      <c r="H15" s="115">
        <f t="shared" si="0"/>
        <v>17807324.508000001</v>
      </c>
      <c r="I15" s="115">
        <f t="shared" si="0"/>
        <v>18844162.120999999</v>
      </c>
      <c r="J15" s="115">
        <f t="shared" si="0"/>
        <v>16836527.620000005</v>
      </c>
      <c r="K15" s="102"/>
      <c r="L15" s="115">
        <f>SUM(L9:L14)</f>
        <v>3107.3523700000014</v>
      </c>
      <c r="M15" s="115">
        <f t="shared" ref="M15:S15" si="1">SUM(M9:M14)</f>
        <v>3471.049950000001</v>
      </c>
      <c r="N15" s="115">
        <f t="shared" si="1"/>
        <v>3414.1216700000004</v>
      </c>
      <c r="O15" s="115">
        <f t="shared" si="1"/>
        <v>3208.540140000001</v>
      </c>
      <c r="P15" s="115">
        <f t="shared" si="1"/>
        <v>3118.755470000001</v>
      </c>
      <c r="Q15" s="115">
        <f t="shared" si="1"/>
        <v>4156.2295300000005</v>
      </c>
      <c r="R15" s="115">
        <f t="shared" si="1"/>
        <v>4347.3481700000002</v>
      </c>
      <c r="S15" s="115">
        <f t="shared" si="1"/>
        <v>3687.1995500000007</v>
      </c>
      <c r="T15" s="115"/>
      <c r="U15" s="115"/>
      <c r="V15" s="115"/>
      <c r="W15" s="115"/>
      <c r="X15" s="115"/>
      <c r="Y15" s="115"/>
      <c r="Z15" s="115"/>
      <c r="AA15" s="115"/>
      <c r="AB15" s="115"/>
      <c r="AC15" s="115"/>
      <c r="AD15" s="116"/>
      <c r="AE15" s="116"/>
      <c r="AF15" s="116"/>
      <c r="AG15" s="116"/>
      <c r="AH15" s="116"/>
      <c r="AI15" s="116"/>
      <c r="AJ15" s="116"/>
      <c r="AK15" s="116"/>
    </row>
    <row r="16" spans="1:47" ht="15">
      <c r="A16" s="74"/>
      <c r="B16" s="74"/>
      <c r="C16" s="74"/>
      <c r="D16" s="74"/>
      <c r="E16" s="74"/>
      <c r="F16" s="74"/>
      <c r="G16" s="74"/>
      <c r="H16" s="74"/>
      <c r="I16" s="74"/>
      <c r="J16" s="74"/>
      <c r="K16" s="74"/>
      <c r="L16" s="74"/>
      <c r="M16" s="74"/>
      <c r="N16" s="74"/>
      <c r="O16" s="74"/>
      <c r="P16" s="74"/>
      <c r="Q16" s="74"/>
      <c r="R16" s="74"/>
      <c r="S16" s="74"/>
      <c r="T16" s="101"/>
      <c r="U16" s="101"/>
      <c r="V16" s="101"/>
      <c r="W16" s="101"/>
      <c r="X16" s="101"/>
      <c r="Y16" s="101"/>
      <c r="Z16" s="101"/>
      <c r="AA16" s="101"/>
      <c r="AB16" s="101"/>
      <c r="AC16" s="101"/>
      <c r="AD16" s="100"/>
      <c r="AE16" s="100"/>
      <c r="AF16" s="100"/>
      <c r="AG16" s="100"/>
      <c r="AH16" s="100"/>
      <c r="AI16" s="100"/>
      <c r="AJ16" s="100"/>
      <c r="AK16" s="100"/>
    </row>
    <row r="17" spans="1:37" ht="15">
      <c r="A17" s="74"/>
      <c r="B17" s="74"/>
      <c r="C17" s="76"/>
      <c r="D17" s="74"/>
      <c r="E17" s="74"/>
      <c r="F17" s="74"/>
      <c r="G17" s="74"/>
      <c r="H17" s="74"/>
      <c r="I17" s="74"/>
      <c r="J17" s="74"/>
      <c r="K17" s="74"/>
      <c r="L17" s="74"/>
      <c r="M17" s="74"/>
      <c r="N17" s="74"/>
      <c r="O17" s="74"/>
      <c r="P17" s="74"/>
      <c r="Q17" s="74"/>
      <c r="R17" s="74"/>
      <c r="S17" s="74"/>
      <c r="T17" s="101"/>
      <c r="U17" s="101"/>
      <c r="V17" s="101"/>
      <c r="W17" s="101"/>
      <c r="X17" s="101"/>
      <c r="Y17" s="101"/>
      <c r="Z17" s="101"/>
      <c r="AA17" s="101"/>
      <c r="AB17" s="100"/>
      <c r="AC17" s="100"/>
      <c r="AD17" s="100"/>
      <c r="AE17" s="100"/>
      <c r="AF17" s="100"/>
      <c r="AG17" s="100"/>
      <c r="AH17" s="100"/>
      <c r="AI17" s="100"/>
      <c r="AJ17" s="100"/>
      <c r="AK17" s="100"/>
    </row>
    <row r="18" spans="1:37" ht="15">
      <c r="A18" s="74"/>
      <c r="B18" s="74"/>
      <c r="C18" s="74"/>
      <c r="D18" s="74"/>
      <c r="E18" s="74"/>
      <c r="F18" s="74"/>
      <c r="G18" s="74"/>
      <c r="H18" s="74"/>
      <c r="I18" s="74"/>
      <c r="J18" s="74"/>
      <c r="K18" s="74"/>
      <c r="L18" s="74"/>
      <c r="M18" s="74"/>
      <c r="N18" s="74"/>
      <c r="O18" s="74"/>
      <c r="P18" s="74"/>
      <c r="Q18" s="74"/>
      <c r="R18" s="74"/>
      <c r="S18" s="74"/>
      <c r="T18" s="101"/>
      <c r="U18" s="101"/>
      <c r="V18" s="101"/>
      <c r="W18" s="101"/>
      <c r="X18" s="101"/>
      <c r="Y18" s="101"/>
      <c r="Z18" s="101"/>
      <c r="AA18" s="101"/>
      <c r="AB18" s="100"/>
      <c r="AC18" s="100"/>
      <c r="AD18" s="100"/>
      <c r="AE18" s="100"/>
      <c r="AF18" s="100"/>
      <c r="AG18" s="100"/>
      <c r="AH18" s="100"/>
      <c r="AI18" s="100"/>
      <c r="AJ18" s="100"/>
      <c r="AK18" s="100"/>
    </row>
    <row r="19" spans="1:37" ht="15">
      <c r="A19" s="74"/>
      <c r="B19" s="74"/>
      <c r="C19" s="74"/>
      <c r="D19" s="74"/>
      <c r="E19" s="74"/>
      <c r="F19" s="74"/>
      <c r="G19" s="74"/>
      <c r="H19" s="74"/>
      <c r="I19" s="74"/>
      <c r="J19" s="74"/>
      <c r="K19" s="74"/>
      <c r="L19" s="74"/>
      <c r="M19" s="74"/>
      <c r="N19" s="74"/>
      <c r="O19" s="74"/>
      <c r="P19" s="74"/>
      <c r="Q19" s="74"/>
      <c r="R19" s="74"/>
      <c r="S19" s="74"/>
      <c r="T19" s="101"/>
      <c r="U19" s="101"/>
      <c r="V19" s="101"/>
      <c r="W19" s="101"/>
      <c r="X19" s="101"/>
      <c r="Y19" s="101"/>
      <c r="Z19" s="101"/>
      <c r="AA19" s="101"/>
      <c r="AB19" s="100"/>
      <c r="AC19" s="100"/>
      <c r="AD19" s="100"/>
      <c r="AE19" s="100"/>
      <c r="AF19" s="100"/>
      <c r="AG19" s="100"/>
      <c r="AH19" s="100"/>
      <c r="AI19" s="100"/>
      <c r="AJ19" s="100"/>
      <c r="AK19" s="100"/>
    </row>
    <row r="20" spans="1:37" ht="15">
      <c r="A20" s="74"/>
      <c r="B20" s="74"/>
      <c r="C20" s="74"/>
      <c r="D20" s="74"/>
      <c r="E20" s="74"/>
      <c r="F20" s="74"/>
      <c r="G20" s="74"/>
      <c r="H20" s="74"/>
      <c r="I20" s="74"/>
      <c r="J20" s="74"/>
      <c r="K20" s="74"/>
      <c r="L20" s="74"/>
      <c r="M20" s="74"/>
      <c r="N20" s="74"/>
      <c r="O20" s="74"/>
      <c r="P20" s="74"/>
      <c r="Q20" s="74"/>
      <c r="R20" s="74"/>
      <c r="S20" s="74"/>
      <c r="T20" s="101"/>
      <c r="U20" s="101"/>
      <c r="V20" s="101"/>
      <c r="W20" s="101"/>
      <c r="X20" s="101"/>
      <c r="Y20" s="101"/>
      <c r="Z20" s="101"/>
      <c r="AA20" s="101"/>
      <c r="AB20" s="100"/>
      <c r="AC20" s="100"/>
      <c r="AD20" s="100"/>
      <c r="AE20" s="100"/>
      <c r="AF20" s="100"/>
      <c r="AG20" s="100"/>
      <c r="AH20" s="100"/>
      <c r="AI20" s="100"/>
      <c r="AJ20" s="100"/>
      <c r="AK20" s="100"/>
    </row>
    <row r="21" spans="1:37" ht="15">
      <c r="A21" s="74"/>
      <c r="B21" s="74"/>
      <c r="C21" s="74"/>
      <c r="D21" s="74"/>
      <c r="E21" s="74"/>
      <c r="F21" s="74"/>
      <c r="G21" s="74"/>
      <c r="H21" s="74"/>
      <c r="I21" s="74"/>
      <c r="J21" s="74"/>
      <c r="K21" s="74"/>
      <c r="L21" s="74"/>
      <c r="M21" s="74"/>
      <c r="N21" s="74"/>
      <c r="O21" s="74"/>
      <c r="P21" s="74"/>
      <c r="Q21" s="74"/>
      <c r="R21" s="74"/>
      <c r="S21" s="74"/>
      <c r="T21" s="101"/>
      <c r="U21" s="101"/>
      <c r="V21" s="101"/>
      <c r="W21" s="101"/>
      <c r="X21" s="101"/>
      <c r="Y21" s="101"/>
      <c r="Z21" s="101"/>
      <c r="AA21" s="101"/>
      <c r="AB21" s="100"/>
      <c r="AC21" s="100"/>
      <c r="AD21" s="100"/>
      <c r="AE21" s="100"/>
      <c r="AF21" s="100"/>
      <c r="AG21" s="100"/>
      <c r="AH21" s="100"/>
      <c r="AI21" s="100"/>
      <c r="AJ21" s="100"/>
      <c r="AK21" s="100"/>
    </row>
    <row r="22" spans="1:37" ht="15">
      <c r="A22" s="130" t="s">
        <v>95</v>
      </c>
      <c r="B22" s="74" t="s">
        <v>96</v>
      </c>
      <c r="C22" s="74">
        <v>17729876.101</v>
      </c>
      <c r="D22" s="74">
        <v>17562618.155999999</v>
      </c>
      <c r="E22" s="74">
        <v>17631527.941</v>
      </c>
      <c r="F22" s="74">
        <v>17049717.158999998</v>
      </c>
      <c r="G22" s="74">
        <v>16185587.210999997</v>
      </c>
      <c r="H22" s="74">
        <v>15741401.518999998</v>
      </c>
      <c r="I22" s="74">
        <v>15686237.664999997</v>
      </c>
      <c r="J22" s="74">
        <v>15698847.669000007</v>
      </c>
      <c r="K22" s="74"/>
      <c r="L22" s="74">
        <v>3705.5440799999997</v>
      </c>
      <c r="M22" s="74">
        <v>3675.8559499999997</v>
      </c>
      <c r="N22" s="74">
        <v>3743.1733799999997</v>
      </c>
      <c r="O22" s="74">
        <v>3571.9157099999998</v>
      </c>
      <c r="P22" s="74">
        <v>3573.7776599999997</v>
      </c>
      <c r="Q22" s="74">
        <v>3674.0431199999998</v>
      </c>
      <c r="R22" s="74">
        <v>3618.8150299999998</v>
      </c>
      <c r="S22" s="74">
        <v>3438.0476699999981</v>
      </c>
      <c r="T22" s="101"/>
      <c r="U22" s="101"/>
      <c r="V22" s="101"/>
      <c r="W22" s="101"/>
      <c r="X22" s="101"/>
      <c r="Y22" s="101"/>
      <c r="Z22" s="101"/>
      <c r="AA22" s="101"/>
      <c r="AB22" s="100"/>
      <c r="AC22" s="100"/>
      <c r="AD22" s="100"/>
      <c r="AE22" s="100"/>
      <c r="AF22" s="100"/>
      <c r="AG22" s="100"/>
      <c r="AH22" s="100"/>
      <c r="AI22" s="100"/>
      <c r="AJ22" s="100"/>
      <c r="AK22" s="100"/>
    </row>
    <row r="23" spans="1:37" ht="16.5" customHeight="1">
      <c r="A23" s="130" t="s">
        <v>97</v>
      </c>
      <c r="B23" s="74" t="s">
        <v>98</v>
      </c>
      <c r="C23" s="74">
        <v>366222.26699999988</v>
      </c>
      <c r="D23" s="74">
        <v>338139.19899999985</v>
      </c>
      <c r="E23" s="74">
        <v>362454.83899999986</v>
      </c>
      <c r="F23" s="74">
        <v>419888.51499999984</v>
      </c>
      <c r="G23" s="74">
        <v>418471.64099999983</v>
      </c>
      <c r="H23" s="74">
        <v>437210.50499999983</v>
      </c>
      <c r="I23" s="74">
        <v>510784.20499999984</v>
      </c>
      <c r="J23" s="74">
        <v>334258.46699999995</v>
      </c>
      <c r="K23" s="74"/>
      <c r="L23" s="74">
        <v>76.540440000000046</v>
      </c>
      <c r="M23" s="74">
        <v>70.772520000000043</v>
      </c>
      <c r="N23" s="74">
        <v>76.949150000000031</v>
      </c>
      <c r="O23" s="74">
        <v>87.96665000000003</v>
      </c>
      <c r="P23" s="74">
        <v>92.398540000000025</v>
      </c>
      <c r="Q23" s="74">
        <v>102.04493000000002</v>
      </c>
      <c r="R23" s="74">
        <v>117.83792000000003</v>
      </c>
      <c r="S23" s="74">
        <v>73.202639999999974</v>
      </c>
      <c r="T23" s="101"/>
      <c r="U23" s="101"/>
      <c r="V23" s="101"/>
      <c r="W23" s="101"/>
      <c r="X23" s="101"/>
      <c r="Y23" s="101"/>
      <c r="Z23" s="101"/>
      <c r="AA23" s="101"/>
      <c r="AB23" s="100"/>
      <c r="AC23" s="100"/>
      <c r="AD23" s="100"/>
      <c r="AE23" s="100"/>
      <c r="AF23" s="100"/>
      <c r="AG23" s="100"/>
      <c r="AH23" s="100"/>
      <c r="AI23" s="100"/>
      <c r="AJ23" s="100"/>
      <c r="AK23" s="100"/>
    </row>
    <row r="24" spans="1:37" ht="15">
      <c r="A24" s="130" t="s">
        <v>99</v>
      </c>
      <c r="B24" s="74" t="s">
        <v>100</v>
      </c>
      <c r="C24" s="74">
        <v>-3800291.568</v>
      </c>
      <c r="D24" s="74">
        <v>-3705582.2370000002</v>
      </c>
      <c r="E24" s="74">
        <v>-3782825.3310000002</v>
      </c>
      <c r="F24" s="74">
        <v>-3802172.5650000004</v>
      </c>
      <c r="G24" s="74">
        <v>-3814697.6160000004</v>
      </c>
      <c r="H24" s="74">
        <v>-3725651.8370000003</v>
      </c>
      <c r="I24" s="74">
        <v>-3723421.9440000001</v>
      </c>
      <c r="J24" s="74">
        <v>-3889993.0619999981</v>
      </c>
      <c r="K24" s="74"/>
      <c r="L24" s="74">
        <v>-794.26094999999987</v>
      </c>
      <c r="M24" s="74">
        <v>-775.57836999999984</v>
      </c>
      <c r="N24" s="74">
        <v>-803.09379999999987</v>
      </c>
      <c r="O24" s="74">
        <v>-796.55514999999991</v>
      </c>
      <c r="P24" s="74">
        <v>-842.28523999999993</v>
      </c>
      <c r="Q24" s="74">
        <v>-869.56714999999997</v>
      </c>
      <c r="R24" s="74">
        <v>-858.99344999999994</v>
      </c>
      <c r="S24" s="74">
        <v>-851.90846999999985</v>
      </c>
      <c r="T24" s="101"/>
      <c r="U24" s="101"/>
      <c r="V24" s="101"/>
      <c r="W24" s="101"/>
      <c r="X24" s="101"/>
      <c r="Y24" s="101"/>
      <c r="Z24" s="101"/>
      <c r="AA24" s="101"/>
      <c r="AB24" s="100"/>
      <c r="AC24" s="100"/>
      <c r="AD24" s="100"/>
      <c r="AE24" s="100"/>
      <c r="AF24" s="100"/>
      <c r="AG24" s="100"/>
      <c r="AH24" s="100"/>
      <c r="AI24" s="100"/>
    </row>
    <row r="25" spans="1:37" ht="15">
      <c r="A25" s="130" t="s">
        <v>101</v>
      </c>
      <c r="B25" s="74" t="s">
        <v>102</v>
      </c>
      <c r="C25" s="74">
        <v>29283586.831999999</v>
      </c>
      <c r="D25" s="74">
        <v>30888284.598999999</v>
      </c>
      <c r="E25" s="74">
        <v>30428313.077999998</v>
      </c>
      <c r="F25" s="74">
        <v>29124576.009999998</v>
      </c>
      <c r="G25" s="74">
        <v>27297627.591999996</v>
      </c>
      <c r="H25" s="74">
        <v>30412575.670999996</v>
      </c>
      <c r="I25" s="74">
        <v>31462390.777999997</v>
      </c>
      <c r="J25" s="74">
        <v>29104349.212000012</v>
      </c>
      <c r="K25" s="74"/>
      <c r="L25" s="74">
        <v>6120.2695900000008</v>
      </c>
      <c r="M25" s="74">
        <v>6464.9179300000005</v>
      </c>
      <c r="N25" s="74">
        <v>6459.9308900000005</v>
      </c>
      <c r="O25" s="74">
        <v>6101.5986500000008</v>
      </c>
      <c r="P25" s="74">
        <v>6027.3161800000007</v>
      </c>
      <c r="Q25" s="74">
        <v>7098.2951300000004</v>
      </c>
      <c r="R25" s="74">
        <v>7258.3735200000001</v>
      </c>
      <c r="S25" s="74">
        <v>6373.8525399999999</v>
      </c>
      <c r="T25" s="101"/>
      <c r="U25" s="101"/>
      <c r="V25" s="101"/>
      <c r="W25" s="101"/>
      <c r="X25" s="101"/>
      <c r="Y25" s="101"/>
      <c r="Z25" s="101"/>
      <c r="AA25" s="101"/>
      <c r="AB25" s="101"/>
      <c r="AC25" s="101"/>
      <c r="AD25" s="101"/>
      <c r="AE25" s="101"/>
      <c r="AF25" s="101"/>
      <c r="AG25" s="101"/>
    </row>
    <row r="26" spans="1:37" ht="12" customHeight="1">
      <c r="A26" s="130" t="s">
        <v>97</v>
      </c>
      <c r="B26" s="74" t="s">
        <v>98</v>
      </c>
      <c r="C26" s="74">
        <v>366222.26699999988</v>
      </c>
      <c r="D26" s="74">
        <v>338139.19899999985</v>
      </c>
      <c r="E26" s="74">
        <v>362454.83899999986</v>
      </c>
      <c r="F26" s="74">
        <v>419888.51499999984</v>
      </c>
      <c r="G26" s="74">
        <v>418471.64099999983</v>
      </c>
      <c r="H26" s="74">
        <v>437210.50499999983</v>
      </c>
      <c r="I26" s="74">
        <v>510784.20499999984</v>
      </c>
      <c r="J26" s="74">
        <v>334258.46699999995</v>
      </c>
      <c r="K26" s="74"/>
      <c r="L26" s="74">
        <v>76.540440000000046</v>
      </c>
      <c r="M26" s="74">
        <v>70.772520000000043</v>
      </c>
      <c r="N26" s="74">
        <v>76.949150000000031</v>
      </c>
      <c r="O26" s="74">
        <v>87.96665000000003</v>
      </c>
      <c r="P26" s="74">
        <v>92.398540000000025</v>
      </c>
      <c r="Q26" s="74">
        <v>102.04493000000002</v>
      </c>
      <c r="R26" s="74">
        <v>117.83792000000003</v>
      </c>
      <c r="S26" s="74">
        <v>73.202639999999974</v>
      </c>
      <c r="T26" s="101"/>
      <c r="U26" s="101"/>
      <c r="V26" s="101"/>
      <c r="W26" s="101"/>
      <c r="X26" s="101"/>
      <c r="Y26" s="101"/>
      <c r="Z26" s="101"/>
      <c r="AA26" s="101"/>
      <c r="AB26" s="101"/>
      <c r="AC26" s="101"/>
      <c r="AD26" s="101"/>
      <c r="AE26" s="101"/>
      <c r="AF26" s="101"/>
      <c r="AG26" s="101"/>
    </row>
    <row r="27" spans="1:37" ht="15">
      <c r="A27" s="130" t="s">
        <v>99</v>
      </c>
      <c r="B27" s="74" t="s">
        <v>100</v>
      </c>
      <c r="C27" s="74">
        <v>-3800291.568</v>
      </c>
      <c r="D27" s="74">
        <v>-3705582.2370000002</v>
      </c>
      <c r="E27" s="74">
        <v>-3782825.3310000002</v>
      </c>
      <c r="F27" s="74">
        <v>-3802172.5650000004</v>
      </c>
      <c r="G27" s="74">
        <v>-3814697.6160000004</v>
      </c>
      <c r="H27" s="74">
        <v>-3725651.8370000003</v>
      </c>
      <c r="I27" s="74">
        <v>-3723421.9440000001</v>
      </c>
      <c r="J27" s="74">
        <v>-3889993.0619999981</v>
      </c>
      <c r="K27" s="74"/>
      <c r="L27" s="74">
        <v>-794.26094999999987</v>
      </c>
      <c r="M27" s="74">
        <v>-775.57836999999984</v>
      </c>
      <c r="N27" s="74">
        <v>-803.09379999999987</v>
      </c>
      <c r="O27" s="74">
        <v>-796.55514999999991</v>
      </c>
      <c r="P27" s="74">
        <v>-842.28523999999993</v>
      </c>
      <c r="Q27" s="74">
        <v>-869.56714999999997</v>
      </c>
      <c r="R27" s="74">
        <v>-858.99344999999994</v>
      </c>
      <c r="S27" s="74">
        <v>-851.90846999999985</v>
      </c>
      <c r="T27" s="101"/>
      <c r="U27" s="101"/>
      <c r="V27" s="101"/>
      <c r="W27" s="101"/>
      <c r="X27" s="101"/>
      <c r="Y27" s="101"/>
      <c r="Z27" s="101"/>
      <c r="AA27" s="101"/>
      <c r="AB27" s="101"/>
      <c r="AC27" s="101"/>
      <c r="AD27" s="101"/>
      <c r="AE27" s="101"/>
      <c r="AF27" s="101"/>
      <c r="AG27" s="101"/>
    </row>
    <row r="28" spans="1:37" ht="15">
      <c r="A28" s="130" t="s">
        <v>101</v>
      </c>
      <c r="B28" s="74" t="s">
        <v>102</v>
      </c>
      <c r="C28" s="74">
        <v>29283586.831999999</v>
      </c>
      <c r="D28" s="74">
        <v>30888284.598999999</v>
      </c>
      <c r="E28" s="74">
        <v>30428313.077999998</v>
      </c>
      <c r="F28" s="74">
        <v>29124576.009999998</v>
      </c>
      <c r="G28" s="74">
        <v>27297627.591999996</v>
      </c>
      <c r="H28" s="74">
        <v>30412575.670999996</v>
      </c>
      <c r="I28" s="74">
        <v>31462390.777999997</v>
      </c>
      <c r="J28" s="74">
        <v>29104349.212000012</v>
      </c>
      <c r="K28" s="74"/>
      <c r="L28" s="74">
        <v>6120.2695900000008</v>
      </c>
      <c r="M28" s="74">
        <v>6464.9179300000005</v>
      </c>
      <c r="N28" s="74">
        <v>6459.9308900000005</v>
      </c>
      <c r="O28" s="74">
        <v>6101.5986500000008</v>
      </c>
      <c r="P28" s="74">
        <v>6027.3161800000007</v>
      </c>
      <c r="Q28" s="74">
        <v>7098.2951300000004</v>
      </c>
      <c r="R28" s="74">
        <v>7258.3735200000001</v>
      </c>
      <c r="S28" s="74">
        <v>6373.8525399999999</v>
      </c>
      <c r="T28" s="101"/>
      <c r="U28" s="101"/>
      <c r="V28" s="101"/>
      <c r="W28" s="101"/>
      <c r="X28" s="101"/>
      <c r="Y28" s="101"/>
      <c r="Z28" s="101"/>
      <c r="AA28" s="101"/>
      <c r="AB28" s="101"/>
      <c r="AC28" s="101"/>
      <c r="AD28" s="101"/>
      <c r="AE28" s="101"/>
      <c r="AF28" s="101"/>
      <c r="AG28" s="101"/>
    </row>
    <row r="29" spans="1:37" ht="15">
      <c r="A29" s="74"/>
      <c r="B29" s="74"/>
      <c r="C29" s="128"/>
      <c r="D29" s="128"/>
      <c r="E29" s="128"/>
      <c r="F29" s="128"/>
      <c r="G29" s="128"/>
      <c r="H29" s="128"/>
      <c r="I29" s="128"/>
      <c r="J29" s="128"/>
      <c r="K29" s="128"/>
      <c r="L29" s="128"/>
      <c r="M29" s="128"/>
      <c r="N29" s="128"/>
      <c r="O29" s="128"/>
      <c r="P29" s="128"/>
      <c r="Q29" s="128"/>
      <c r="R29" s="128"/>
      <c r="S29" s="128"/>
      <c r="T29" s="101"/>
      <c r="U29" s="101"/>
      <c r="V29" s="101"/>
      <c r="W29" s="101"/>
      <c r="X29" s="101"/>
      <c r="Y29" s="101"/>
      <c r="Z29" s="101"/>
      <c r="AA29" s="101"/>
      <c r="AB29" s="101"/>
      <c r="AC29" s="101"/>
      <c r="AD29" s="101"/>
      <c r="AE29" s="101"/>
      <c r="AF29" s="101"/>
      <c r="AG29" s="101"/>
    </row>
    <row r="30" spans="1:37" ht="15">
      <c r="A30" s="74"/>
      <c r="B30" s="74"/>
      <c r="C30" s="128"/>
      <c r="D30" s="128"/>
      <c r="E30" s="128"/>
      <c r="F30" s="128"/>
      <c r="G30" s="128"/>
      <c r="H30" s="128"/>
      <c r="I30" s="128"/>
      <c r="J30" s="128"/>
      <c r="K30" s="128"/>
      <c r="L30" s="128"/>
      <c r="M30" s="128"/>
      <c r="N30" s="128"/>
      <c r="O30" s="128"/>
      <c r="P30" s="128"/>
      <c r="Q30" s="128"/>
      <c r="R30" s="128"/>
      <c r="S30" s="128"/>
      <c r="T30" s="101"/>
      <c r="U30" s="101"/>
      <c r="V30" s="101"/>
      <c r="W30" s="101"/>
      <c r="X30" s="101"/>
      <c r="Y30" s="101"/>
      <c r="Z30" s="101"/>
      <c r="AA30" s="101"/>
    </row>
    <row r="31" spans="1:37" ht="15">
      <c r="A31" s="74"/>
      <c r="B31" s="74"/>
      <c r="C31" s="128"/>
      <c r="D31" s="128"/>
      <c r="E31" s="128"/>
      <c r="F31" s="128"/>
      <c r="G31" s="128"/>
      <c r="H31" s="128"/>
      <c r="I31" s="128"/>
      <c r="J31" s="128"/>
      <c r="K31" s="128"/>
      <c r="L31" s="128"/>
      <c r="M31" s="128"/>
      <c r="N31" s="128"/>
      <c r="O31" s="128"/>
      <c r="P31" s="128"/>
      <c r="Q31" s="128"/>
      <c r="R31" s="128"/>
      <c r="S31" s="128"/>
      <c r="T31" s="101"/>
      <c r="U31" s="101"/>
      <c r="V31" s="101"/>
      <c r="W31" s="101"/>
      <c r="X31" s="101"/>
      <c r="Y31" s="101"/>
      <c r="Z31" s="101"/>
      <c r="AA31" s="101"/>
    </row>
    <row r="32" spans="1:37" ht="15">
      <c r="A32" s="74"/>
      <c r="B32" s="74"/>
      <c r="C32" s="128"/>
      <c r="D32" s="128"/>
      <c r="E32" s="128"/>
      <c r="F32" s="128"/>
      <c r="G32" s="128"/>
      <c r="H32" s="128"/>
      <c r="I32" s="128"/>
      <c r="J32" s="128"/>
      <c r="K32" s="128"/>
      <c r="L32" s="128"/>
      <c r="M32" s="128"/>
      <c r="N32" s="128"/>
      <c r="O32" s="128"/>
      <c r="P32" s="128"/>
      <c r="Q32" s="128"/>
      <c r="R32" s="128"/>
      <c r="S32" s="128"/>
      <c r="T32" s="101"/>
      <c r="U32" s="101"/>
      <c r="V32" s="101"/>
      <c r="W32" s="101"/>
      <c r="X32" s="101"/>
      <c r="Y32" s="101"/>
      <c r="Z32" s="101"/>
      <c r="AA32" s="101"/>
    </row>
    <row r="33" spans="1:27" ht="15">
      <c r="A33" s="74"/>
      <c r="B33" s="74"/>
      <c r="C33" s="128"/>
      <c r="D33" s="128"/>
      <c r="E33" s="128"/>
      <c r="F33" s="128"/>
      <c r="G33" s="128"/>
      <c r="H33" s="128"/>
      <c r="I33" s="128"/>
      <c r="J33" s="128"/>
      <c r="K33" s="128"/>
      <c r="L33" s="128"/>
      <c r="M33" s="128"/>
      <c r="N33" s="128"/>
      <c r="O33" s="128"/>
      <c r="P33" s="128"/>
      <c r="Q33" s="128"/>
      <c r="R33" s="128"/>
      <c r="S33" s="128"/>
      <c r="T33" s="101"/>
      <c r="U33" s="101"/>
      <c r="V33" s="101"/>
      <c r="W33" s="101"/>
      <c r="X33" s="101"/>
      <c r="Y33" s="101"/>
      <c r="Z33" s="101"/>
      <c r="AA33" s="101"/>
    </row>
    <row r="34" spans="1:27" ht="15">
      <c r="A34" s="74"/>
      <c r="B34" s="74"/>
      <c r="C34" s="128"/>
      <c r="D34" s="128"/>
      <c r="E34" s="128"/>
      <c r="F34" s="128"/>
      <c r="G34" s="128"/>
      <c r="H34" s="128"/>
      <c r="I34" s="128"/>
      <c r="J34" s="128"/>
      <c r="K34" s="128"/>
      <c r="L34" s="128"/>
      <c r="M34" s="128"/>
      <c r="N34" s="128"/>
      <c r="O34" s="128"/>
      <c r="P34" s="128"/>
      <c r="Q34" s="128"/>
      <c r="R34" s="128"/>
      <c r="S34" s="128"/>
      <c r="T34" s="101"/>
      <c r="U34" s="101"/>
      <c r="V34" s="101"/>
      <c r="W34" s="101"/>
      <c r="X34" s="101"/>
      <c r="Y34" s="101"/>
      <c r="Z34" s="101"/>
      <c r="AA34" s="10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38177-3BD2-4F78-BCD8-6DA9C26185DA}">
  <dimension ref="A1:AK27"/>
  <sheetViews>
    <sheetView workbookViewId="0">
      <pane xSplit="3" ySplit="7" topLeftCell="E15" activePane="bottomRight" state="frozen"/>
      <selection pane="bottomRight" activeCell="L22" sqref="L22"/>
      <selection pane="bottomLeft" activeCell="A8" sqref="A8"/>
      <selection pane="topRight" activeCell="D1" sqref="D1"/>
    </sheetView>
  </sheetViews>
  <sheetFormatPr defaultColWidth="11.42578125" defaultRowHeight="15"/>
  <cols>
    <col min="1" max="1" width="10.7109375" customWidth="1"/>
    <col min="2" max="2" width="34.7109375" customWidth="1"/>
    <col min="3" max="3" width="18.7109375" style="44" customWidth="1"/>
    <col min="4" max="4" width="16.5703125" style="44" customWidth="1"/>
    <col min="5" max="5" width="19.28515625" style="44" customWidth="1"/>
    <col min="6" max="6" width="16.28515625" style="44" customWidth="1"/>
    <col min="7" max="7" width="15" style="44" customWidth="1"/>
    <col min="8" max="8" width="13.42578125" style="44" customWidth="1"/>
    <col min="9" max="9" width="12.85546875" style="44" customWidth="1"/>
    <col min="10" max="10" width="2.28515625" style="44" customWidth="1"/>
    <col min="11" max="11" width="3.140625" style="44" customWidth="1"/>
    <col min="12" max="12" width="10.7109375" style="44" customWidth="1"/>
    <col min="13" max="13" width="15.7109375" style="44" customWidth="1"/>
    <col min="14" max="14" width="15.85546875" style="44" customWidth="1"/>
    <col min="15" max="15" width="13.28515625" style="44" customWidth="1"/>
    <col min="16" max="16" width="17" style="44" customWidth="1"/>
    <col min="17" max="17" width="19.42578125" style="44" customWidth="1"/>
    <col min="18" max="18" width="18.140625" style="44" customWidth="1"/>
    <col min="19" max="19" width="16.85546875" style="44" customWidth="1"/>
    <col min="20" max="20" width="13.42578125" style="44" hidden="1" customWidth="1"/>
    <col min="21" max="21" width="14.42578125" style="44" hidden="1" customWidth="1"/>
    <col min="22" max="22" width="16.5703125" style="44" hidden="1" customWidth="1"/>
    <col min="23" max="23" width="14" style="44" hidden="1" customWidth="1"/>
    <col min="24" max="24" width="13.85546875" style="44" hidden="1" customWidth="1"/>
    <col min="25" max="25" width="16.85546875" style="44" hidden="1" customWidth="1"/>
    <col min="26" max="26" width="13.42578125" style="44" hidden="1" customWidth="1"/>
    <col min="27" max="27" width="18.85546875" style="44" hidden="1" customWidth="1"/>
    <col min="28" max="28" width="33.140625" style="44" hidden="1" customWidth="1"/>
    <col min="29" max="29" width="13.5703125" style="44" hidden="1" customWidth="1"/>
    <col min="30" max="30" width="15.5703125" style="44" hidden="1" customWidth="1"/>
    <col min="31" max="31" width="18.5703125" style="44" hidden="1" customWidth="1"/>
    <col min="32" max="16384" width="11.42578125" style="44"/>
  </cols>
  <sheetData>
    <row r="1" spans="1:37" s="56" customFormat="1">
      <c r="A1" s="74"/>
      <c r="B1" s="74"/>
      <c r="C1" s="74" t="s">
        <v>64</v>
      </c>
      <c r="D1" s="74" t="s">
        <v>64</v>
      </c>
      <c r="E1" s="74" t="s">
        <v>64</v>
      </c>
      <c r="F1" s="74" t="s">
        <v>64</v>
      </c>
      <c r="G1" s="74" t="s">
        <v>64</v>
      </c>
      <c r="H1" s="74" t="s">
        <v>64</v>
      </c>
      <c r="I1" s="74" t="s">
        <v>64</v>
      </c>
      <c r="J1" s="74"/>
      <c r="K1" s="74"/>
      <c r="L1" s="74" t="s">
        <v>64</v>
      </c>
      <c r="M1" s="74" t="s">
        <v>64</v>
      </c>
      <c r="N1" s="74" t="s">
        <v>64</v>
      </c>
      <c r="O1" s="74" t="s">
        <v>64</v>
      </c>
      <c r="P1" s="74" t="s">
        <v>64</v>
      </c>
      <c r="Q1" s="74" t="s">
        <v>64</v>
      </c>
      <c r="R1" s="74" t="s">
        <v>64</v>
      </c>
      <c r="S1" s="88"/>
      <c r="T1" s="88"/>
      <c r="U1" s="88"/>
      <c r="V1" s="88"/>
      <c r="W1" s="88"/>
      <c r="X1" s="88"/>
      <c r="Y1" s="88"/>
      <c r="Z1" s="88"/>
      <c r="AA1" s="88"/>
      <c r="AB1" s="88"/>
      <c r="AC1" s="88"/>
      <c r="AD1" s="88"/>
      <c r="AE1" s="88"/>
      <c r="AF1" s="88"/>
      <c r="AG1" s="88"/>
      <c r="AH1" s="88"/>
      <c r="AI1" s="88"/>
      <c r="AJ1" s="88"/>
      <c r="AK1" s="88"/>
    </row>
    <row r="2" spans="1:37" s="56" customFormat="1">
      <c r="A2" s="74"/>
      <c r="B2" s="74"/>
      <c r="C2" s="130" t="s">
        <v>65</v>
      </c>
      <c r="D2" s="130" t="s">
        <v>65</v>
      </c>
      <c r="E2" s="130" t="s">
        <v>65</v>
      </c>
      <c r="F2" s="130" t="s">
        <v>65</v>
      </c>
      <c r="G2" s="130" t="s">
        <v>65</v>
      </c>
      <c r="H2" s="130" t="s">
        <v>65</v>
      </c>
      <c r="I2" s="130" t="s">
        <v>65</v>
      </c>
      <c r="J2" s="74"/>
      <c r="K2" s="74"/>
      <c r="L2" s="130" t="s">
        <v>65</v>
      </c>
      <c r="M2" s="130" t="s">
        <v>65</v>
      </c>
      <c r="N2" s="130" t="s">
        <v>65</v>
      </c>
      <c r="O2" s="130" t="s">
        <v>65</v>
      </c>
      <c r="P2" s="130" t="s">
        <v>65</v>
      </c>
      <c r="Q2" s="130" t="s">
        <v>65</v>
      </c>
      <c r="R2" s="130" t="s">
        <v>65</v>
      </c>
      <c r="S2" s="89"/>
      <c r="T2" s="89"/>
      <c r="U2" s="89"/>
      <c r="V2" s="89"/>
      <c r="W2" s="89"/>
      <c r="X2" s="89"/>
      <c r="Y2" s="89"/>
      <c r="Z2" s="89"/>
      <c r="AA2" s="89"/>
      <c r="AB2" s="89"/>
      <c r="AC2" s="89"/>
      <c r="AD2" s="89"/>
      <c r="AE2" s="89"/>
      <c r="AF2" s="89"/>
      <c r="AG2" s="89"/>
      <c r="AH2" s="89"/>
      <c r="AI2" s="89"/>
      <c r="AJ2" s="89"/>
      <c r="AK2" s="89"/>
    </row>
    <row r="3" spans="1:37" s="56" customFormat="1">
      <c r="A3" s="74"/>
      <c r="B3" s="74"/>
      <c r="C3" s="74"/>
      <c r="D3" s="74"/>
      <c r="E3" s="74"/>
      <c r="F3" s="74"/>
      <c r="G3" s="74"/>
      <c r="H3" s="74"/>
      <c r="I3" s="74"/>
      <c r="J3" s="74"/>
      <c r="K3" s="74"/>
      <c r="L3" s="74"/>
      <c r="M3" s="74"/>
      <c r="N3" s="74"/>
      <c r="O3" s="74"/>
      <c r="P3" s="74"/>
      <c r="Q3" s="74"/>
      <c r="R3" s="74"/>
      <c r="S3" s="88"/>
      <c r="T3" s="88"/>
      <c r="U3" s="88"/>
      <c r="V3" s="88"/>
      <c r="W3" s="88"/>
      <c r="X3" s="88"/>
      <c r="Y3" s="88"/>
      <c r="Z3" s="88"/>
      <c r="AA3" s="88"/>
      <c r="AB3" s="88"/>
      <c r="AC3" s="88"/>
      <c r="AD3" s="88"/>
      <c r="AE3" s="88"/>
      <c r="AF3" s="88"/>
      <c r="AG3" s="88"/>
      <c r="AH3" s="88"/>
      <c r="AI3" s="88"/>
      <c r="AJ3" s="88"/>
      <c r="AK3" s="88"/>
    </row>
    <row r="4" spans="1:37" s="56" customFormat="1">
      <c r="A4" s="74"/>
      <c r="B4" s="74"/>
      <c r="C4" s="74" t="s">
        <v>103</v>
      </c>
      <c r="D4" s="74" t="s">
        <v>103</v>
      </c>
      <c r="E4" s="74" t="s">
        <v>103</v>
      </c>
      <c r="F4" s="74" t="s">
        <v>103</v>
      </c>
      <c r="G4" s="74" t="s">
        <v>103</v>
      </c>
      <c r="H4" s="74" t="s">
        <v>103</v>
      </c>
      <c r="I4" s="74" t="s">
        <v>103</v>
      </c>
      <c r="J4" s="74"/>
      <c r="K4" s="74"/>
      <c r="L4" s="74" t="s">
        <v>103</v>
      </c>
      <c r="M4" s="74" t="s">
        <v>103</v>
      </c>
      <c r="N4" s="74" t="s">
        <v>103</v>
      </c>
      <c r="O4" s="74" t="s">
        <v>103</v>
      </c>
      <c r="P4" s="74" t="s">
        <v>103</v>
      </c>
      <c r="Q4" s="74" t="s">
        <v>103</v>
      </c>
      <c r="R4" s="74" t="s">
        <v>103</v>
      </c>
      <c r="S4" s="88"/>
      <c r="T4" s="88"/>
      <c r="U4" s="88"/>
      <c r="V4" s="88"/>
      <c r="W4" s="88"/>
      <c r="X4" s="88"/>
      <c r="Y4" s="88"/>
      <c r="Z4" s="88"/>
      <c r="AA4" s="88"/>
      <c r="AB4" s="88"/>
      <c r="AC4" s="88"/>
      <c r="AD4" s="88"/>
      <c r="AE4" s="88"/>
      <c r="AF4" s="88"/>
      <c r="AG4" s="88"/>
      <c r="AH4" s="88"/>
      <c r="AI4" s="88"/>
      <c r="AJ4" s="88"/>
      <c r="AK4" s="88"/>
    </row>
    <row r="5" spans="1:37" s="56" customFormat="1">
      <c r="A5" s="74"/>
      <c r="B5" s="74"/>
      <c r="C5" s="74" t="s">
        <v>68</v>
      </c>
      <c r="D5" s="74" t="s">
        <v>68</v>
      </c>
      <c r="E5" s="74" t="s">
        <v>68</v>
      </c>
      <c r="F5" s="74" t="s">
        <v>68</v>
      </c>
      <c r="G5" s="74" t="s">
        <v>68</v>
      </c>
      <c r="H5" s="74" t="s">
        <v>68</v>
      </c>
      <c r="I5" s="74" t="s">
        <v>68</v>
      </c>
      <c r="J5" s="74"/>
      <c r="K5" s="74"/>
      <c r="L5" s="74" t="s">
        <v>69</v>
      </c>
      <c r="M5" s="74" t="s">
        <v>69</v>
      </c>
      <c r="N5" s="74" t="s">
        <v>69</v>
      </c>
      <c r="O5" s="74" t="s">
        <v>69</v>
      </c>
      <c r="P5" s="74" t="s">
        <v>69</v>
      </c>
      <c r="Q5" s="74" t="s">
        <v>69</v>
      </c>
      <c r="R5" s="74" t="s">
        <v>69</v>
      </c>
      <c r="S5" s="88"/>
      <c r="T5" s="88"/>
      <c r="U5" s="88"/>
      <c r="V5" s="88"/>
      <c r="W5" s="88"/>
      <c r="X5" s="88"/>
      <c r="Y5" s="88"/>
      <c r="Z5" s="88"/>
      <c r="AA5" s="88"/>
      <c r="AB5" s="88"/>
      <c r="AC5" s="88"/>
      <c r="AD5" s="88"/>
      <c r="AE5" s="88"/>
      <c r="AF5" s="88"/>
      <c r="AG5" s="88"/>
      <c r="AH5" s="88"/>
      <c r="AI5" s="88"/>
      <c r="AJ5" s="88"/>
      <c r="AK5" s="88"/>
    </row>
    <row r="6" spans="1:37" s="56" customFormat="1">
      <c r="A6" s="74"/>
      <c r="B6" s="74"/>
      <c r="C6" s="74" t="s">
        <v>70</v>
      </c>
      <c r="D6" s="74" t="s">
        <v>71</v>
      </c>
      <c r="E6" s="74" t="s">
        <v>72</v>
      </c>
      <c r="F6" s="74" t="s">
        <v>73</v>
      </c>
      <c r="G6" s="74" t="s">
        <v>74</v>
      </c>
      <c r="H6" s="74" t="s">
        <v>75</v>
      </c>
      <c r="I6" s="74" t="s">
        <v>76</v>
      </c>
      <c r="J6" s="74"/>
      <c r="K6" s="74"/>
      <c r="L6" s="74" t="s">
        <v>70</v>
      </c>
      <c r="M6" s="74" t="s">
        <v>71</v>
      </c>
      <c r="N6" s="74" t="s">
        <v>72</v>
      </c>
      <c r="O6" s="74" t="s">
        <v>73</v>
      </c>
      <c r="P6" s="74" t="s">
        <v>74</v>
      </c>
      <c r="Q6" s="74" t="s">
        <v>75</v>
      </c>
      <c r="R6" s="74" t="s">
        <v>76</v>
      </c>
      <c r="S6" s="88"/>
      <c r="T6" s="88"/>
      <c r="U6" s="88"/>
      <c r="V6" s="88"/>
      <c r="W6" s="88"/>
      <c r="X6" s="88"/>
      <c r="Y6" s="88"/>
      <c r="Z6" s="88"/>
      <c r="AA6" s="88"/>
      <c r="AB6" s="88"/>
      <c r="AC6" s="88"/>
      <c r="AD6" s="88"/>
      <c r="AE6" s="88"/>
      <c r="AF6" s="88"/>
      <c r="AG6" s="88"/>
      <c r="AH6" s="88"/>
      <c r="AI6" s="88"/>
      <c r="AJ6" s="88"/>
      <c r="AK6" s="88"/>
    </row>
    <row r="7" spans="1:37" s="56" customFormat="1">
      <c r="A7" s="74"/>
      <c r="B7" s="74"/>
      <c r="C7" s="74" t="s">
        <v>78</v>
      </c>
      <c r="D7" s="74" t="s">
        <v>78</v>
      </c>
      <c r="E7" s="74" t="s">
        <v>78</v>
      </c>
      <c r="F7" s="74" t="s">
        <v>78</v>
      </c>
      <c r="G7" s="74" t="s">
        <v>78</v>
      </c>
      <c r="H7" s="74" t="s">
        <v>78</v>
      </c>
      <c r="I7" s="74" t="s">
        <v>78</v>
      </c>
      <c r="J7" s="74"/>
      <c r="K7" s="74"/>
      <c r="L7" s="74" t="s">
        <v>78</v>
      </c>
      <c r="M7" s="74" t="s">
        <v>78</v>
      </c>
      <c r="N7" s="74" t="s">
        <v>78</v>
      </c>
      <c r="O7" s="74" t="s">
        <v>78</v>
      </c>
      <c r="P7" s="74" t="s">
        <v>78</v>
      </c>
      <c r="Q7" s="74" t="s">
        <v>78</v>
      </c>
      <c r="R7" s="74" t="s">
        <v>78</v>
      </c>
      <c r="S7" s="88"/>
      <c r="T7" s="88"/>
      <c r="U7" s="88"/>
      <c r="V7" s="88"/>
      <c r="W7" s="88"/>
      <c r="X7" s="88"/>
      <c r="Y7" s="88"/>
      <c r="Z7" s="88"/>
      <c r="AA7" s="88"/>
      <c r="AB7" s="88"/>
      <c r="AC7" s="88"/>
      <c r="AD7" s="88"/>
      <c r="AE7" s="88"/>
      <c r="AF7" s="88"/>
      <c r="AG7" s="88"/>
      <c r="AH7" s="88"/>
      <c r="AI7" s="88"/>
      <c r="AJ7" s="88"/>
      <c r="AK7" s="88"/>
    </row>
    <row r="8" spans="1:37">
      <c r="A8" s="76" t="s">
        <v>104</v>
      </c>
      <c r="B8" s="76" t="s">
        <v>105</v>
      </c>
      <c r="C8" s="76">
        <v>0</v>
      </c>
      <c r="D8" s="76">
        <v>0</v>
      </c>
      <c r="E8" s="76">
        <v>0</v>
      </c>
      <c r="F8" s="76">
        <v>0</v>
      </c>
      <c r="G8" s="76">
        <v>0</v>
      </c>
      <c r="H8" s="76">
        <v>0</v>
      </c>
      <c r="I8" s="76">
        <v>0</v>
      </c>
      <c r="J8" s="76"/>
      <c r="K8" s="76"/>
      <c r="L8" s="76">
        <v>0</v>
      </c>
      <c r="M8" s="76">
        <v>0</v>
      </c>
      <c r="N8" s="76">
        <v>0</v>
      </c>
      <c r="O8" s="76">
        <v>0</v>
      </c>
      <c r="P8" s="76">
        <v>0</v>
      </c>
      <c r="Q8" s="76">
        <v>0</v>
      </c>
      <c r="R8" s="76">
        <v>0</v>
      </c>
      <c r="S8" s="76"/>
      <c r="T8" s="76"/>
      <c r="U8" s="76"/>
      <c r="V8" s="76"/>
      <c r="W8" s="76"/>
      <c r="X8" s="76"/>
      <c r="Y8" s="76"/>
      <c r="Z8" s="76"/>
      <c r="AA8" s="76"/>
      <c r="AB8" s="76"/>
      <c r="AC8" s="76"/>
      <c r="AD8" s="76"/>
      <c r="AE8" s="76"/>
      <c r="AF8" s="90"/>
      <c r="AG8" s="90"/>
      <c r="AH8" s="90"/>
      <c r="AI8" s="90"/>
      <c r="AJ8" s="90"/>
      <c r="AK8" s="90"/>
    </row>
    <row r="9" spans="1:37">
      <c r="A9" s="76" t="s">
        <v>106</v>
      </c>
      <c r="B9" s="76" t="s">
        <v>107</v>
      </c>
      <c r="C9" s="76">
        <v>0</v>
      </c>
      <c r="D9" s="76">
        <v>0</v>
      </c>
      <c r="E9" s="76">
        <v>0</v>
      </c>
      <c r="F9" s="76">
        <v>0</v>
      </c>
      <c r="G9" s="76">
        <v>0</v>
      </c>
      <c r="H9" s="76">
        <v>0</v>
      </c>
      <c r="I9" s="76">
        <v>0</v>
      </c>
      <c r="J9" s="76"/>
      <c r="K9" s="76"/>
      <c r="L9" s="76">
        <v>0</v>
      </c>
      <c r="M9" s="76">
        <v>0</v>
      </c>
      <c r="N9" s="76">
        <v>0</v>
      </c>
      <c r="O9" s="76">
        <v>0</v>
      </c>
      <c r="P9" s="76">
        <v>0</v>
      </c>
      <c r="Q9" s="76">
        <v>0</v>
      </c>
      <c r="R9" s="76">
        <v>0</v>
      </c>
      <c r="S9" s="76"/>
      <c r="T9" s="76"/>
      <c r="U9" s="76"/>
      <c r="V9" s="76"/>
      <c r="W9" s="76"/>
      <c r="X9" s="76"/>
      <c r="Y9" s="76"/>
      <c r="Z9" s="76"/>
      <c r="AA9" s="76"/>
      <c r="AB9" s="76"/>
      <c r="AC9" s="76"/>
      <c r="AD9" s="76"/>
      <c r="AE9" s="76"/>
      <c r="AF9" s="90"/>
      <c r="AG9" s="90"/>
      <c r="AH9" s="90"/>
      <c r="AI9" s="90"/>
      <c r="AJ9" s="90"/>
      <c r="AK9" s="90"/>
    </row>
    <row r="10" spans="1:37">
      <c r="A10" s="131" t="s">
        <v>108</v>
      </c>
      <c r="B10" s="76" t="s">
        <v>109</v>
      </c>
      <c r="C10" s="76">
        <v>0</v>
      </c>
      <c r="D10" s="76">
        <v>0</v>
      </c>
      <c r="E10" s="76">
        <v>0</v>
      </c>
      <c r="F10" s="76">
        <v>0</v>
      </c>
      <c r="G10" s="76">
        <v>0</v>
      </c>
      <c r="H10" s="76">
        <v>0</v>
      </c>
      <c r="I10" s="76">
        <v>0</v>
      </c>
      <c r="J10" s="76"/>
      <c r="K10" s="76"/>
      <c r="L10" s="76">
        <v>0</v>
      </c>
      <c r="M10" s="76">
        <v>0</v>
      </c>
      <c r="N10" s="76">
        <v>0</v>
      </c>
      <c r="O10" s="76">
        <v>0</v>
      </c>
      <c r="P10" s="76">
        <v>0</v>
      </c>
      <c r="Q10" s="76">
        <v>0</v>
      </c>
      <c r="R10" s="76">
        <v>0</v>
      </c>
      <c r="S10" s="76"/>
      <c r="T10" s="76"/>
      <c r="U10" s="76"/>
      <c r="V10" s="76"/>
      <c r="W10" s="76"/>
      <c r="X10" s="76"/>
      <c r="Y10" s="76"/>
      <c r="Z10" s="76"/>
      <c r="AA10" s="76"/>
      <c r="AB10" s="76"/>
      <c r="AC10" s="76"/>
      <c r="AD10" s="76"/>
      <c r="AE10" s="76"/>
      <c r="AF10" s="90"/>
      <c r="AG10" s="90"/>
      <c r="AH10" s="90"/>
      <c r="AI10" s="90"/>
      <c r="AJ10" s="90"/>
      <c r="AK10" s="90"/>
    </row>
    <row r="11" spans="1:37">
      <c r="A11" s="131" t="s">
        <v>110</v>
      </c>
      <c r="B11" s="76" t="s">
        <v>111</v>
      </c>
      <c r="C11" s="76">
        <v>0</v>
      </c>
      <c r="D11" s="76">
        <v>0</v>
      </c>
      <c r="E11" s="76">
        <v>0</v>
      </c>
      <c r="F11" s="76">
        <v>0</v>
      </c>
      <c r="G11" s="76">
        <v>0</v>
      </c>
      <c r="H11" s="76">
        <v>0</v>
      </c>
      <c r="I11" s="76">
        <v>0</v>
      </c>
      <c r="J11" s="76"/>
      <c r="K11" s="76"/>
      <c r="L11" s="76">
        <v>0</v>
      </c>
      <c r="M11" s="76">
        <v>0</v>
      </c>
      <c r="N11" s="76">
        <v>0</v>
      </c>
      <c r="O11" s="76">
        <v>0</v>
      </c>
      <c r="P11" s="76">
        <v>0</v>
      </c>
      <c r="Q11" s="76">
        <v>0</v>
      </c>
      <c r="R11" s="76">
        <v>0</v>
      </c>
      <c r="S11" s="76"/>
      <c r="T11" s="76"/>
      <c r="U11" s="76"/>
      <c r="V11" s="76"/>
      <c r="W11" s="76"/>
      <c r="X11" s="76"/>
      <c r="Y11" s="76"/>
      <c r="Z11" s="76"/>
      <c r="AA11" s="76"/>
      <c r="AB11" s="76"/>
      <c r="AC11" s="76"/>
      <c r="AD11" s="76"/>
      <c r="AE11" s="76"/>
      <c r="AF11" s="90"/>
      <c r="AG11" s="90"/>
      <c r="AH11" s="90"/>
      <c r="AI11" s="90"/>
      <c r="AJ11" s="90"/>
      <c r="AK11" s="90"/>
    </row>
    <row r="12" spans="1:37">
      <c r="A12" s="131" t="s">
        <v>112</v>
      </c>
      <c r="B12" s="76" t="s">
        <v>113</v>
      </c>
      <c r="C12" s="76">
        <v>0</v>
      </c>
      <c r="D12" s="76">
        <v>0</v>
      </c>
      <c r="E12" s="76">
        <v>0</v>
      </c>
      <c r="F12" s="76">
        <v>0</v>
      </c>
      <c r="G12" s="76">
        <v>0</v>
      </c>
      <c r="H12" s="76">
        <v>0</v>
      </c>
      <c r="I12" s="76">
        <v>0</v>
      </c>
      <c r="J12" s="76"/>
      <c r="K12" s="76"/>
      <c r="L12" s="76">
        <v>0</v>
      </c>
      <c r="M12" s="76">
        <v>0</v>
      </c>
      <c r="N12" s="76">
        <v>0</v>
      </c>
      <c r="O12" s="76">
        <v>0</v>
      </c>
      <c r="P12" s="76">
        <v>0</v>
      </c>
      <c r="Q12" s="76">
        <v>0</v>
      </c>
      <c r="R12" s="76">
        <v>0</v>
      </c>
      <c r="S12" s="76"/>
      <c r="T12" s="76"/>
      <c r="U12" s="76"/>
      <c r="V12" s="76"/>
      <c r="W12" s="76"/>
      <c r="X12" s="76"/>
      <c r="Y12" s="76"/>
      <c r="Z12" s="76"/>
      <c r="AA12" s="76"/>
      <c r="AB12" s="76"/>
      <c r="AC12" s="76"/>
      <c r="AD12" s="76"/>
      <c r="AE12" s="76"/>
      <c r="AF12" s="90"/>
      <c r="AG12" s="90"/>
      <c r="AH12" s="90"/>
      <c r="AI12" s="90"/>
      <c r="AJ12" s="90"/>
      <c r="AK12" s="90"/>
    </row>
    <row r="13" spans="1:37">
      <c r="A13" s="131" t="s">
        <v>114</v>
      </c>
      <c r="B13" s="76" t="s">
        <v>115</v>
      </c>
      <c r="C13" s="76">
        <v>-3130386.5159999998</v>
      </c>
      <c r="D13" s="76">
        <v>-3047986.835</v>
      </c>
      <c r="E13" s="76">
        <v>-3107191.4780000001</v>
      </c>
      <c r="F13" s="76">
        <v>-3144721.4539999999</v>
      </c>
      <c r="G13" s="76">
        <v>-3140033.0159999998</v>
      </c>
      <c r="H13" s="76">
        <v>-3085763.966</v>
      </c>
      <c r="I13" s="76">
        <v>-3123136.662</v>
      </c>
      <c r="J13" s="76"/>
      <c r="K13" s="76"/>
      <c r="L13" s="76">
        <v>-654.25078000000019</v>
      </c>
      <c r="M13" s="76">
        <v>-637.94364000000019</v>
      </c>
      <c r="N13" s="76">
        <v>-659.65675000000022</v>
      </c>
      <c r="O13" s="76">
        <v>-658.81914000000017</v>
      </c>
      <c r="P13" s="76">
        <v>-693.31929000000014</v>
      </c>
      <c r="Q13" s="76">
        <v>-720.21731000000011</v>
      </c>
      <c r="R13" s="76">
        <v>-720.50763000000006</v>
      </c>
      <c r="S13" s="76"/>
      <c r="T13" s="76"/>
      <c r="U13" s="76"/>
      <c r="V13" s="76"/>
      <c r="W13" s="76"/>
      <c r="X13" s="76"/>
      <c r="Y13" s="76"/>
      <c r="Z13" s="76"/>
      <c r="AA13" s="76"/>
      <c r="AB13" s="76"/>
      <c r="AC13" s="76"/>
      <c r="AD13" s="76"/>
      <c r="AE13" s="76"/>
      <c r="AF13" s="76"/>
      <c r="AG13" s="76"/>
      <c r="AH13" s="76"/>
      <c r="AI13" s="76"/>
      <c r="AJ13" s="76"/>
      <c r="AK13" s="76"/>
    </row>
    <row r="14" spans="1:37">
      <c r="A14" s="131" t="s">
        <v>116</v>
      </c>
      <c r="B14" s="76" t="s">
        <v>117</v>
      </c>
      <c r="C14" s="76">
        <v>0</v>
      </c>
      <c r="D14" s="76">
        <v>0</v>
      </c>
      <c r="E14" s="76">
        <v>0</v>
      </c>
      <c r="F14" s="76">
        <v>0</v>
      </c>
      <c r="G14" s="76">
        <v>0</v>
      </c>
      <c r="H14" s="76">
        <v>0</v>
      </c>
      <c r="I14" s="76">
        <v>0</v>
      </c>
      <c r="J14" s="76"/>
      <c r="K14" s="76"/>
      <c r="L14" s="76">
        <v>0</v>
      </c>
      <c r="M14" s="76">
        <v>0</v>
      </c>
      <c r="N14" s="76">
        <v>0</v>
      </c>
      <c r="O14" s="76">
        <v>0</v>
      </c>
      <c r="P14" s="76">
        <v>0</v>
      </c>
      <c r="Q14" s="76">
        <v>0</v>
      </c>
      <c r="R14" s="76">
        <v>0</v>
      </c>
      <c r="S14" s="76"/>
      <c r="T14" s="76"/>
      <c r="U14" s="76"/>
      <c r="V14" s="76"/>
      <c r="W14" s="76"/>
      <c r="X14" s="76"/>
      <c r="Y14" s="76"/>
      <c r="Z14" s="76"/>
      <c r="AA14" s="76"/>
      <c r="AB14" s="76"/>
      <c r="AC14" s="76"/>
      <c r="AD14" s="76"/>
      <c r="AE14" s="76"/>
      <c r="AF14" s="76"/>
      <c r="AG14" s="76"/>
      <c r="AH14" s="76"/>
      <c r="AI14" s="76"/>
      <c r="AJ14" s="76"/>
      <c r="AK14" s="76"/>
    </row>
    <row r="15" spans="1:37" ht="16.5" customHeight="1">
      <c r="A15" s="131" t="s">
        <v>118</v>
      </c>
      <c r="B15" s="76" t="s">
        <v>119</v>
      </c>
      <c r="C15" s="76">
        <v>0</v>
      </c>
      <c r="D15" s="76">
        <v>0</v>
      </c>
      <c r="E15" s="76">
        <v>0</v>
      </c>
      <c r="F15" s="76">
        <v>0</v>
      </c>
      <c r="G15" s="76">
        <v>0</v>
      </c>
      <c r="H15" s="76">
        <v>0</v>
      </c>
      <c r="I15" s="76">
        <v>0</v>
      </c>
      <c r="J15" s="76"/>
      <c r="K15" s="76"/>
      <c r="L15" s="76">
        <v>0</v>
      </c>
      <c r="M15" s="76">
        <v>0</v>
      </c>
      <c r="N15" s="76">
        <v>0</v>
      </c>
      <c r="O15" s="76">
        <v>0</v>
      </c>
      <c r="P15" s="76">
        <v>0</v>
      </c>
      <c r="Q15" s="76">
        <v>0</v>
      </c>
      <c r="R15" s="76">
        <v>0</v>
      </c>
      <c r="S15" s="76"/>
      <c r="T15" s="76"/>
      <c r="U15" s="76"/>
      <c r="V15" s="76"/>
      <c r="W15" s="76"/>
      <c r="X15" s="76"/>
      <c r="Y15" s="76"/>
      <c r="Z15" s="76"/>
      <c r="AA15" s="76"/>
      <c r="AB15" s="76"/>
      <c r="AC15" s="76"/>
      <c r="AD15" s="76"/>
      <c r="AE15" s="76"/>
      <c r="AF15" s="76"/>
      <c r="AG15" s="76"/>
      <c r="AH15" s="76"/>
      <c r="AI15" s="76"/>
      <c r="AJ15" s="76"/>
      <c r="AK15" s="76"/>
    </row>
    <row r="16" spans="1:37">
      <c r="A16" s="131" t="s">
        <v>120</v>
      </c>
      <c r="B16" s="76" t="s">
        <v>121</v>
      </c>
      <c r="C16" s="76">
        <v>0</v>
      </c>
      <c r="D16" s="76">
        <v>0</v>
      </c>
      <c r="E16" s="76">
        <v>0</v>
      </c>
      <c r="F16" s="76">
        <v>0</v>
      </c>
      <c r="G16" s="76">
        <v>0</v>
      </c>
      <c r="H16" s="76">
        <v>0</v>
      </c>
      <c r="I16" s="76">
        <v>0</v>
      </c>
      <c r="J16" s="76"/>
      <c r="K16" s="76"/>
      <c r="L16" s="76">
        <v>0</v>
      </c>
      <c r="M16" s="76">
        <v>0</v>
      </c>
      <c r="N16" s="76">
        <v>0</v>
      </c>
      <c r="O16" s="76">
        <v>0</v>
      </c>
      <c r="P16" s="76">
        <v>0</v>
      </c>
      <c r="Q16" s="76">
        <v>0</v>
      </c>
      <c r="R16" s="76">
        <v>0</v>
      </c>
      <c r="S16" s="76"/>
      <c r="T16" s="76"/>
      <c r="U16" s="76"/>
      <c r="V16" s="76"/>
      <c r="W16" s="76"/>
      <c r="X16" s="76"/>
      <c r="Y16" s="76"/>
      <c r="Z16" s="76"/>
      <c r="AA16" s="76"/>
      <c r="AB16" s="76"/>
      <c r="AC16" s="76"/>
      <c r="AD16" s="76"/>
      <c r="AE16" s="76"/>
      <c r="AF16" s="76"/>
      <c r="AG16" s="76"/>
      <c r="AH16" s="76"/>
      <c r="AI16" s="76"/>
      <c r="AJ16" s="76"/>
      <c r="AK16" s="76"/>
    </row>
    <row r="17" spans="1:37">
      <c r="A17" s="76" t="s">
        <v>122</v>
      </c>
      <c r="B17" s="76" t="s">
        <v>123</v>
      </c>
      <c r="C17" s="76">
        <v>-3130386.5159999998</v>
      </c>
      <c r="D17" s="76">
        <v>-3047986.835</v>
      </c>
      <c r="E17" s="76">
        <v>-3107191.4780000001</v>
      </c>
      <c r="F17" s="76">
        <v>-3144721.4539999999</v>
      </c>
      <c r="G17" s="76">
        <v>-3140033.0159999998</v>
      </c>
      <c r="H17" s="76">
        <v>-3085763.966</v>
      </c>
      <c r="I17" s="76">
        <v>-3123136.662</v>
      </c>
      <c r="J17" s="76"/>
      <c r="K17" s="76"/>
      <c r="L17" s="76">
        <v>-654.25078000000019</v>
      </c>
      <c r="M17" s="76">
        <v>-637.94364000000019</v>
      </c>
      <c r="N17" s="76">
        <v>-659.65675000000022</v>
      </c>
      <c r="O17" s="76">
        <v>-658.81914000000017</v>
      </c>
      <c r="P17" s="76">
        <v>-693.31929000000014</v>
      </c>
      <c r="Q17" s="76">
        <v>-720.21731000000011</v>
      </c>
      <c r="R17" s="76">
        <v>-720.50763000000006</v>
      </c>
      <c r="S17" s="76"/>
      <c r="T17" s="76"/>
      <c r="U17" s="76"/>
      <c r="V17" s="76"/>
      <c r="W17" s="76"/>
      <c r="X17" s="76"/>
      <c r="Y17" s="76"/>
      <c r="Z17" s="76"/>
      <c r="AA17" s="76"/>
      <c r="AB17" s="76"/>
      <c r="AC17" s="76"/>
      <c r="AD17" s="76"/>
      <c r="AE17" s="76"/>
      <c r="AF17" s="76"/>
      <c r="AG17" s="76"/>
      <c r="AH17" s="76"/>
      <c r="AI17" s="76"/>
      <c r="AJ17" s="76"/>
      <c r="AK17" s="76"/>
    </row>
    <row r="18" spans="1:37">
      <c r="A18" s="76" t="s">
        <v>124</v>
      </c>
      <c r="B18" s="76" t="s">
        <v>125</v>
      </c>
      <c r="C18" s="76">
        <v>0</v>
      </c>
      <c r="D18" s="76">
        <v>0</v>
      </c>
      <c r="E18" s="76">
        <v>0</v>
      </c>
      <c r="F18" s="76">
        <v>0</v>
      </c>
      <c r="G18" s="76">
        <v>0</v>
      </c>
      <c r="H18" s="76">
        <v>0</v>
      </c>
      <c r="I18" s="76">
        <v>0</v>
      </c>
      <c r="J18" s="76"/>
      <c r="K18" s="76"/>
      <c r="L18" s="76">
        <v>0</v>
      </c>
      <c r="M18" s="76">
        <v>0</v>
      </c>
      <c r="N18" s="76">
        <v>0</v>
      </c>
      <c r="O18" s="76">
        <v>0</v>
      </c>
      <c r="P18" s="76">
        <v>0</v>
      </c>
      <c r="Q18" s="76">
        <v>0</v>
      </c>
      <c r="R18" s="76">
        <v>0</v>
      </c>
      <c r="S18" s="76"/>
      <c r="T18" s="76"/>
      <c r="U18" s="76"/>
      <c r="V18" s="76"/>
      <c r="W18" s="76"/>
      <c r="X18" s="76"/>
      <c r="Y18" s="76"/>
      <c r="Z18" s="76"/>
      <c r="AA18" s="76"/>
      <c r="AB18" s="76"/>
      <c r="AC18" s="76"/>
      <c r="AD18" s="76"/>
      <c r="AE18" s="76"/>
      <c r="AF18" s="76"/>
      <c r="AG18" s="76"/>
      <c r="AH18" s="76"/>
      <c r="AI18" s="76"/>
      <c r="AJ18" s="76"/>
      <c r="AK18" s="76"/>
    </row>
    <row r="19" spans="1:37" s="133" customFormat="1">
      <c r="A19" s="76" t="s">
        <v>126</v>
      </c>
      <c r="B19" s="76" t="s">
        <v>127</v>
      </c>
      <c r="C19" s="76">
        <v>0</v>
      </c>
      <c r="D19" s="76">
        <v>0</v>
      </c>
      <c r="E19" s="76">
        <v>0</v>
      </c>
      <c r="F19" s="76">
        <v>0</v>
      </c>
      <c r="G19" s="76">
        <v>0</v>
      </c>
      <c r="H19" s="76">
        <v>0</v>
      </c>
      <c r="I19" s="76">
        <v>0</v>
      </c>
      <c r="J19" s="76"/>
      <c r="K19" s="76"/>
      <c r="L19" s="76">
        <v>0</v>
      </c>
      <c r="M19" s="76">
        <v>0</v>
      </c>
      <c r="N19" s="76">
        <v>0</v>
      </c>
      <c r="O19" s="76">
        <v>0</v>
      </c>
      <c r="P19" s="76">
        <v>0</v>
      </c>
      <c r="Q19" s="76">
        <v>0</v>
      </c>
      <c r="R19" s="76">
        <v>0</v>
      </c>
      <c r="S19" s="76"/>
      <c r="T19" s="76"/>
      <c r="U19" s="76"/>
      <c r="V19" s="76"/>
      <c r="W19" s="76"/>
      <c r="X19" s="76"/>
      <c r="Y19" s="76"/>
      <c r="Z19" s="76"/>
      <c r="AA19" s="76"/>
      <c r="AB19" s="76"/>
      <c r="AC19" s="76"/>
      <c r="AD19" s="76"/>
      <c r="AE19" s="76"/>
      <c r="AF19" s="102"/>
      <c r="AG19" s="102"/>
      <c r="AH19" s="102"/>
      <c r="AI19" s="102"/>
      <c r="AJ19" s="102"/>
      <c r="AK19" s="102"/>
    </row>
    <row r="20" spans="1:37">
      <c r="A20" s="76" t="s">
        <v>128</v>
      </c>
      <c r="B20" s="76" t="s">
        <v>129</v>
      </c>
      <c r="C20" s="76">
        <v>0</v>
      </c>
      <c r="D20" s="76">
        <v>0</v>
      </c>
      <c r="E20" s="76">
        <v>0</v>
      </c>
      <c r="F20" s="76">
        <v>0</v>
      </c>
      <c r="G20" s="76">
        <v>0</v>
      </c>
      <c r="H20" s="76">
        <v>0</v>
      </c>
      <c r="I20" s="76">
        <v>0</v>
      </c>
      <c r="J20" s="76"/>
      <c r="K20" s="76"/>
      <c r="L20" s="76">
        <v>0</v>
      </c>
      <c r="M20" s="76">
        <v>0</v>
      </c>
      <c r="N20" s="76">
        <v>0</v>
      </c>
      <c r="O20" s="76">
        <v>0</v>
      </c>
      <c r="P20" s="76">
        <v>0</v>
      </c>
      <c r="Q20" s="76">
        <v>0</v>
      </c>
      <c r="R20" s="76">
        <v>0</v>
      </c>
      <c r="S20" s="76"/>
      <c r="T20" s="76"/>
      <c r="U20" s="76"/>
      <c r="V20" s="76"/>
      <c r="W20" s="76"/>
      <c r="X20" s="76"/>
      <c r="Y20" s="76"/>
      <c r="Z20" s="76"/>
      <c r="AA20" s="76"/>
      <c r="AB20" s="76"/>
      <c r="AC20" s="76"/>
      <c r="AD20" s="76"/>
      <c r="AE20" s="76"/>
      <c r="AF20" s="76"/>
      <c r="AG20" s="76"/>
      <c r="AH20" s="76"/>
      <c r="AI20" s="76"/>
      <c r="AJ20" s="76"/>
      <c r="AK20" s="76"/>
    </row>
    <row r="21" spans="1:37" s="134" customFormat="1">
      <c r="A21" s="76" t="s">
        <v>130</v>
      </c>
      <c r="B21" s="76" t="s">
        <v>131</v>
      </c>
      <c r="C21" s="76">
        <v>-3130386.5159999998</v>
      </c>
      <c r="D21" s="76">
        <v>-3047986.835</v>
      </c>
      <c r="E21" s="76">
        <v>-3107191.4780000001</v>
      </c>
      <c r="F21" s="76">
        <v>-3144721.4539999999</v>
      </c>
      <c r="G21" s="76">
        <v>-3140033.0159999998</v>
      </c>
      <c r="H21" s="76">
        <v>-3085763.966</v>
      </c>
      <c r="I21" s="76">
        <v>-3123136.662</v>
      </c>
      <c r="J21" s="76"/>
      <c r="K21" s="76"/>
      <c r="L21" s="76">
        <v>-654.25078000000019</v>
      </c>
      <c r="M21" s="76">
        <v>-637.94364000000019</v>
      </c>
      <c r="N21" s="76">
        <v>-659.65675000000022</v>
      </c>
      <c r="O21" s="76">
        <v>-658.81914000000017</v>
      </c>
      <c r="P21" s="76">
        <v>-693.31929000000014</v>
      </c>
      <c r="Q21" s="76">
        <v>-720.21731000000011</v>
      </c>
      <c r="R21" s="76">
        <v>-720.50763000000006</v>
      </c>
      <c r="S21" s="76"/>
      <c r="T21" s="76"/>
      <c r="U21" s="76"/>
      <c r="V21" s="76"/>
      <c r="W21" s="76"/>
      <c r="X21" s="76"/>
      <c r="Y21" s="76"/>
      <c r="Z21" s="76"/>
      <c r="AA21" s="76"/>
      <c r="AB21" s="76"/>
      <c r="AC21" s="76"/>
      <c r="AD21" s="76"/>
      <c r="AE21" s="76"/>
      <c r="AF21" s="76"/>
      <c r="AG21" s="76"/>
      <c r="AH21" s="76"/>
      <c r="AI21" s="76"/>
      <c r="AJ21" s="76"/>
      <c r="AK21" s="76"/>
    </row>
    <row r="22" spans="1:37" s="135" customFormat="1">
      <c r="A22" s="114" t="s">
        <v>132</v>
      </c>
      <c r="B22" s="114" t="s">
        <v>133</v>
      </c>
      <c r="C22" s="114">
        <v>-669905.05200000003</v>
      </c>
      <c r="D22" s="114">
        <v>-657595.402</v>
      </c>
      <c r="E22" s="114">
        <v>-675633.853</v>
      </c>
      <c r="F22" s="114">
        <v>-657451.11100000003</v>
      </c>
      <c r="G22" s="114">
        <v>-674664.6</v>
      </c>
      <c r="H22" s="114">
        <v>-639887.87099999993</v>
      </c>
      <c r="I22" s="114">
        <v>-600285.28199999989</v>
      </c>
      <c r="J22" s="114"/>
      <c r="K22" s="114"/>
      <c r="L22" s="114">
        <v>-140.01016999999996</v>
      </c>
      <c r="M22" s="114">
        <v>-137.63472999999996</v>
      </c>
      <c r="N22" s="114">
        <v>-143.43704999999997</v>
      </c>
      <c r="O22" s="114">
        <v>-137.73600999999996</v>
      </c>
      <c r="P22" s="114">
        <v>-148.96594999999996</v>
      </c>
      <c r="Q22" s="114">
        <v>-149.34983999999997</v>
      </c>
      <c r="R22" s="114">
        <v>-138.48581999999996</v>
      </c>
      <c r="S22" s="114"/>
      <c r="T22" s="114"/>
      <c r="U22" s="114"/>
      <c r="V22" s="114"/>
      <c r="W22" s="114"/>
      <c r="X22" s="114"/>
      <c r="Y22" s="114"/>
      <c r="Z22" s="114"/>
      <c r="AA22" s="114"/>
      <c r="AB22" s="114"/>
      <c r="AC22" s="114"/>
      <c r="AD22" s="114"/>
      <c r="AE22" s="114"/>
      <c r="AF22" s="114"/>
      <c r="AG22" s="114"/>
      <c r="AH22" s="114"/>
      <c r="AI22" s="114"/>
      <c r="AJ22" s="114"/>
      <c r="AK22" s="114"/>
    </row>
    <row r="23" spans="1:37" s="135" customFormat="1" ht="16.5" customHeight="1">
      <c r="A23" s="76" t="s">
        <v>134</v>
      </c>
      <c r="B23" s="76" t="s">
        <v>135</v>
      </c>
      <c r="C23" s="76">
        <v>-669905.05200000003</v>
      </c>
      <c r="D23" s="76">
        <v>-657595.402</v>
      </c>
      <c r="E23" s="76">
        <v>-675633.853</v>
      </c>
      <c r="F23" s="76">
        <v>-657451.11100000003</v>
      </c>
      <c r="G23" s="76">
        <v>-674664.6</v>
      </c>
      <c r="H23" s="76">
        <v>-639887.87099999993</v>
      </c>
      <c r="I23" s="76">
        <v>-600285.28199999989</v>
      </c>
      <c r="J23" s="76"/>
      <c r="K23" s="76"/>
      <c r="L23" s="76">
        <v>-140.01016999999996</v>
      </c>
      <c r="M23" s="76">
        <v>-137.63472999999996</v>
      </c>
      <c r="N23" s="76">
        <v>-143.43704999999997</v>
      </c>
      <c r="O23" s="76">
        <v>-137.73600999999996</v>
      </c>
      <c r="P23" s="76">
        <v>-148.96594999999996</v>
      </c>
      <c r="Q23" s="76">
        <v>-149.34983999999997</v>
      </c>
      <c r="R23" s="76">
        <v>-138.48581999999996</v>
      </c>
      <c r="S23" s="114"/>
      <c r="T23" s="114"/>
      <c r="U23" s="114"/>
      <c r="V23" s="114"/>
      <c r="W23" s="114"/>
      <c r="X23" s="114"/>
      <c r="Y23" s="114"/>
      <c r="Z23" s="114"/>
      <c r="AA23" s="114"/>
      <c r="AB23" s="114"/>
      <c r="AC23" s="114"/>
      <c r="AD23" s="114"/>
      <c r="AE23" s="114"/>
      <c r="AF23" s="114"/>
      <c r="AG23" s="114"/>
      <c r="AH23" s="114"/>
      <c r="AI23" s="114"/>
      <c r="AJ23" s="114"/>
      <c r="AK23" s="114"/>
    </row>
    <row r="24" spans="1:37">
      <c r="A24" s="76" t="s">
        <v>67</v>
      </c>
      <c r="B24" s="76" t="s">
        <v>67</v>
      </c>
      <c r="C24" s="76">
        <v>-3800291.568</v>
      </c>
      <c r="D24" s="76">
        <v>-3705582.2370000002</v>
      </c>
      <c r="E24" s="76">
        <v>-3782825.3310000002</v>
      </c>
      <c r="F24" s="76">
        <v>-3802172.5650000004</v>
      </c>
      <c r="G24" s="76">
        <v>-3814697.6160000004</v>
      </c>
      <c r="H24" s="76">
        <v>-3725651.8370000003</v>
      </c>
      <c r="I24" s="76">
        <v>-3723421.9440000001</v>
      </c>
      <c r="J24" s="76"/>
      <c r="K24" s="76"/>
      <c r="L24" s="76">
        <v>-794.26094999999987</v>
      </c>
      <c r="M24" s="76">
        <v>-775.57836999999984</v>
      </c>
      <c r="N24" s="76">
        <v>-803.09379999999987</v>
      </c>
      <c r="O24" s="76">
        <v>-796.55514999999991</v>
      </c>
      <c r="P24" s="76">
        <v>-842.28523999999993</v>
      </c>
      <c r="Q24" s="76">
        <v>-869.56714999999997</v>
      </c>
      <c r="R24" s="76">
        <v>-858.99344999999994</v>
      </c>
      <c r="S24" s="76"/>
      <c r="T24" s="76"/>
      <c r="U24" s="76"/>
      <c r="V24" s="76"/>
      <c r="W24" s="76"/>
      <c r="X24" s="76"/>
      <c r="Y24" s="76"/>
      <c r="Z24" s="76"/>
      <c r="AA24" s="76"/>
      <c r="AB24" s="76"/>
      <c r="AC24" s="76"/>
      <c r="AD24" s="76"/>
      <c r="AE24" s="76"/>
      <c r="AF24" s="76"/>
      <c r="AG24" s="76"/>
      <c r="AH24" s="76"/>
      <c r="AI24" s="76"/>
      <c r="AJ24" s="76"/>
      <c r="AK24" s="76"/>
    </row>
    <row r="25" spans="1:37">
      <c r="A25" s="74"/>
      <c r="B25" s="74"/>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row>
    <row r="26" spans="1:37" ht="12" customHeight="1">
      <c r="A26" s="74"/>
      <c r="B26" s="74"/>
      <c r="C26" s="90"/>
      <c r="D26" s="90"/>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row>
    <row r="27" spans="1:37">
      <c r="A27" s="74"/>
      <c r="B27" s="74"/>
      <c r="C27" s="90"/>
      <c r="D27" s="90"/>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80ACE9286AA24ABB000DEB6A7192BC" ma:contentTypeVersion="16" ma:contentTypeDescription="Create a new document." ma:contentTypeScope="" ma:versionID="1a6e8efb18b1e91c5cea98a52141780a">
  <xsd:schema xmlns:xsd="http://www.w3.org/2001/XMLSchema" xmlns:xs="http://www.w3.org/2001/XMLSchema" xmlns:p="http://schemas.microsoft.com/office/2006/metadata/properties" xmlns:ns2="d5813a71-ed45-4723-a8fb-02e2d19c60c4" xmlns:ns3="f54c56e8-d46b-4105-983d-5823d8fd43e9" targetNamespace="http://schemas.microsoft.com/office/2006/metadata/properties" ma:root="true" ma:fieldsID="9f69cda35bb9e4b8e611d29e3da698db" ns2:_="" ns3:_="">
    <xsd:import namespace="d5813a71-ed45-4723-a8fb-02e2d19c60c4"/>
    <xsd:import namespace="f54c56e8-d46b-4105-983d-5823d8fd43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FECH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813a71-ed45-4723-a8fb-02e2d19c60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e055066-1d0b-4836-b0e5-54071a0012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FECHA" ma:index="22" nillable="true" ma:displayName="FECHA" ma:format="DateOnly" ma:internalName="FECHA">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54c56e8-d46b-4105-983d-5823d8fd43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d306fd9-ada2-4a92-8d5c-8d4673a550b5}" ma:internalName="TaxCatchAll" ma:showField="CatchAllData" ma:web="f54c56e8-d46b-4105-983d-5823d8fd43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4c56e8-d46b-4105-983d-5823d8fd43e9" xsi:nil="true"/>
    <lcf76f155ced4ddcb4097134ff3c332f xmlns="d5813a71-ed45-4723-a8fb-02e2d19c60c4">
      <Terms xmlns="http://schemas.microsoft.com/office/infopath/2007/PartnerControls"/>
    </lcf76f155ced4ddcb4097134ff3c332f>
    <FECHA xmlns="d5813a71-ed45-4723-a8fb-02e2d19c60c4" xsi:nil="true"/>
  </documentManagement>
</p:properties>
</file>

<file path=customXml/itemProps1.xml><?xml version="1.0" encoding="utf-8"?>
<ds:datastoreItem xmlns:ds="http://schemas.openxmlformats.org/officeDocument/2006/customXml" ds:itemID="{2BFF1F18-685C-4F64-A7F2-0B8049A13A29}"/>
</file>

<file path=customXml/itemProps2.xml><?xml version="1.0" encoding="utf-8"?>
<ds:datastoreItem xmlns:ds="http://schemas.openxmlformats.org/officeDocument/2006/customXml" ds:itemID="{18B04F0E-205B-4C5C-9626-04DFD1909959}"/>
</file>

<file path=customXml/itemProps3.xml><?xml version="1.0" encoding="utf-8"?>
<ds:datastoreItem xmlns:ds="http://schemas.openxmlformats.org/officeDocument/2006/customXml" ds:itemID="{622E4D62-3004-460A-B58C-A7887D84B69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Valencia Varela Nancy</dc:creator>
  <cp:keywords/>
  <dc:description/>
  <cp:lastModifiedBy/>
  <cp:revision/>
  <dcterms:created xsi:type="dcterms:W3CDTF">2022-02-08T13:51:56Z</dcterms:created>
  <dcterms:modified xsi:type="dcterms:W3CDTF">2025-09-10T21:53:17Z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0x010100C180ACE9286AA24ABB000DEB6A7192BC</vt:lpwstr>
  </property>
  <property fmtid="{D5CDD505-2E9C-101B-9397-08002B2CF9AE}" pid="3" name="MediaServiceImageTags">
    <vt:lpwstr/>
  </property>
</Properties>
</file>